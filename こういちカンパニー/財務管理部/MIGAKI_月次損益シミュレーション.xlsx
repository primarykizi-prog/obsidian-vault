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前提条件" sheetId="1" state="visible" r:id="rId3"/>
    <sheet name="②月次損益（標準）" sheetId="2" state="visible" r:id="rId4"/>
    <sheet name="③損益分岐点&amp;シナリ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<sst xmlns="http://schemas.openxmlformats.org/spreadsheetml/2006/main" count="218" uniqueCount="166">
  <si>
    <r>
      <rPr>
        <b val="true"/>
        <sz val="16"/>
        <color rgb="FFFFFFFF"/>
        <rFont val="Arial"/>
        <family val="0"/>
        <charset val="1"/>
      </rPr>
      <t xml:space="preserve">MIGAKI BASE</t>
    </r>
    <r>
      <rPr>
        <b val="true"/>
        <sz val="16"/>
        <color rgb="FFFFFFFF"/>
        <rFont val="DejaVu Sans"/>
        <family val="2"/>
      </rPr>
      <t xml:space="preserve">｜月次損益シミュレーション　前提条件</t>
    </r>
  </si>
  <si>
    <r>
      <rPr>
        <sz val="9"/>
        <color rgb="FF888888"/>
        <rFont val="DejaVu Sans"/>
        <family val="2"/>
      </rPr>
      <t xml:space="preserve">青字セルが入力値（変更可）。黒字セルは計算式。</t>
    </r>
    <r>
      <rPr>
        <sz val="9"/>
        <color rgb="FF888888"/>
        <rFont val="Arial"/>
        <family val="0"/>
        <charset val="1"/>
      </rPr>
      <t xml:space="preserve">2026-04-05</t>
    </r>
    <r>
      <rPr>
        <sz val="9"/>
        <color rgb="FF888888"/>
        <rFont val="DejaVu Sans"/>
        <family val="2"/>
      </rPr>
      <t xml:space="preserve">版</t>
    </r>
  </si>
  <si>
    <t xml:space="preserve">項目</t>
  </si>
  <si>
    <t xml:space="preserve">設定値</t>
  </si>
  <si>
    <t xml:space="preserve">単位</t>
  </si>
  <si>
    <t xml:space="preserve">備考・出典</t>
  </si>
  <si>
    <r>
      <rPr>
        <b val="true"/>
        <sz val="10"/>
        <color rgb="FF1F3864"/>
        <rFont val="Arial"/>
        <family val="0"/>
        <charset val="1"/>
      </rPr>
      <t xml:space="preserve">A</t>
    </r>
    <r>
      <rPr>
        <b val="true"/>
        <sz val="10"/>
        <color rgb="FF1F3864"/>
        <rFont val="DejaVu Sans"/>
        <family val="2"/>
      </rPr>
      <t xml:space="preserve">｜価格設定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</si>
  <si>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泊あたり単価（保守シナリオ）</t>
    </r>
  </si>
  <si>
    <r>
      <rPr>
        <sz val="10"/>
        <color rgb="FF000000"/>
        <rFont val="DejaVu Sans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泊</t>
    </r>
  </si>
  <si>
    <r>
      <rPr>
        <sz val="9"/>
        <color rgb="FF000000"/>
        <rFont val="DejaVu Sans"/>
        <family val="2"/>
      </rPr>
      <t xml:space="preserve">浮遊のいえ（上越市）</t>
    </r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名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泊</t>
    </r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万円を基準に設定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</si>
  <si>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泊あたり単価（標準シナリオ）</t>
    </r>
  </si>
  <si>
    <r>
      <rPr>
        <sz val="9"/>
        <color rgb="FF000000"/>
        <rFont val="Arial"/>
        <family val="0"/>
        <charset val="1"/>
      </rPr>
      <t xml:space="preserve">Luxury Dojo</t>
    </r>
    <r>
      <rPr>
        <sz val="9"/>
        <color rgb="FF000000"/>
        <rFont val="DejaVu Sans"/>
        <family val="2"/>
      </rPr>
      <t xml:space="preserve">差別化・インバウンド高単価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</si>
  <si>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泊あたり単価（楽観シナリオ）</t>
    </r>
  </si>
  <si>
    <t xml:space="preserve">スーパーホスト取得後・リピーター多数</t>
  </si>
  <si>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DejaVu Sans"/>
        <family val="2"/>
      </rPr>
      <t xml:space="preserve">手数料率（</t>
    </r>
    <r>
      <rPr>
        <sz val="10"/>
        <color rgb="FF000000"/>
        <rFont val="Arial"/>
        <family val="0"/>
        <charset val="1"/>
      </rPr>
      <t xml:space="preserve">Airbnb</t>
    </r>
    <r>
      <rPr>
        <sz val="10"/>
        <color rgb="FF000000"/>
        <rFont val="DejaVu Sans"/>
        <family val="2"/>
      </rPr>
      <t xml:space="preserve">等）</t>
    </r>
  </si>
  <si>
    <t xml:space="preserve">%</t>
  </si>
  <si>
    <r>
      <rPr>
        <sz val="9"/>
        <color rgb="FF000000"/>
        <rFont val="Arial"/>
        <family val="0"/>
        <charset val="1"/>
      </rPr>
      <t xml:space="preserve">Airbnb</t>
    </r>
    <r>
      <rPr>
        <sz val="9"/>
        <color rgb="FF000000"/>
        <rFont val="DejaVu Sans"/>
        <family val="2"/>
      </rPr>
      <t xml:space="preserve">標準。</t>
    </r>
    <r>
      <rPr>
        <sz val="9"/>
        <color rgb="FF000000"/>
        <rFont val="Arial"/>
        <family val="0"/>
        <charset val="1"/>
      </rPr>
      <t xml:space="preserve">Booking.com</t>
    </r>
    <r>
      <rPr>
        <sz val="9"/>
        <color rgb="FF000000"/>
        <rFont val="DejaVu Sans"/>
        <family val="2"/>
      </rPr>
      <t xml:space="preserve">は</t>
    </r>
    <r>
      <rPr>
        <sz val="9"/>
        <color rgb="FF000000"/>
        <rFont val="Arial"/>
        <family val="0"/>
        <charset val="1"/>
      </rPr>
      <t xml:space="preserve">15</t>
    </r>
    <r>
      <rPr>
        <sz val="9"/>
        <color rgb="FF000000"/>
        <rFont val="DejaVu Sans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18%</t>
    </r>
  </si>
  <si>
    <t xml:space="preserve">直接予約割合</t>
  </si>
  <si>
    <r>
      <rPr>
        <sz val="9"/>
        <color rgb="FF000000"/>
        <rFont val="Arial"/>
        <family val="0"/>
        <charset val="1"/>
      </rPr>
      <t xml:space="preserve">MIGAKI</t>
    </r>
    <r>
      <rPr>
        <sz val="9"/>
        <color rgb="FF000000"/>
        <rFont val="DejaVu Sans"/>
        <family val="2"/>
      </rPr>
      <t xml:space="preserve">道場員・リピーターからの直予約想定</t>
    </r>
  </si>
  <si>
    <r>
      <rPr>
        <sz val="10"/>
        <color rgb="FF000000"/>
        <rFont val="DejaVu Sans"/>
        <family val="2"/>
      </rPr>
      <t xml:space="preserve">手取り単価（</t>
    </r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DejaVu Sans"/>
        <family val="2"/>
      </rPr>
      <t xml:space="preserve">手数料控除後・標準）</t>
    </r>
  </si>
  <si>
    <r>
      <rPr>
        <sz val="9"/>
        <color rgb="FF000000"/>
        <rFont val="Arial"/>
        <family val="0"/>
        <charset val="1"/>
      </rPr>
      <t xml:space="preserve">B6 x (1 - OTA</t>
    </r>
    <r>
      <rPr>
        <sz val="9"/>
        <color rgb="FF000000"/>
        <rFont val="DejaVu Sans"/>
        <family val="2"/>
      </rPr>
      <t xml:space="preserve">手数料率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</si>
  <si>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1F3864"/>
        <rFont val="Arial"/>
        <family val="0"/>
        <charset val="1"/>
      </rPr>
      <t xml:space="preserve">B</t>
    </r>
    <r>
      <rPr>
        <b val="true"/>
        <sz val="10"/>
        <color rgb="FF1F3864"/>
        <rFont val="DejaVu Sans"/>
        <family val="2"/>
      </rPr>
      <t xml:space="preserve">｜月別稼働率（季節性）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</si>
  <si>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月</t>
    </r>
  </si>
  <si>
    <t xml:space="preserve">冬スキーシーズン最盛期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</si>
  <si>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月</t>
    </r>
  </si>
  <si>
    <t xml:space="preserve">スキー・祝日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</si>
  <si>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月</t>
    </r>
  </si>
  <si>
    <t xml:space="preserve">春休み・雪解け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</si>
  <si>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月</t>
    </r>
  </si>
  <si>
    <t xml:space="preserve">閑散期</t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</si>
  <si>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</si>
  <si>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</si>
  <si>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月</t>
    </r>
  </si>
  <si>
    <t xml:space="preserve">夏合宿・お盆</t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</si>
  <si>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月</t>
    </r>
  </si>
  <si>
    <t xml:space="preserve">夏合宿・お盆ピーク</t>
  </si>
  <si>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</si>
  <si>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月</t>
    </r>
  </si>
  <si>
    <t xml:space="preserve">紅葉・ライダー</t>
  </si>
  <si>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</si>
  <si>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月</t>
    </r>
  </si>
  <si>
    <t xml:space="preserve">スキー開幕・年末</t>
  </si>
  <si>
    <t xml:space="preserve">年間平均稼働率</t>
  </si>
  <si>
    <t xml:space="preserve">計算値</t>
  </si>
  <si>
    <r>
      <rPr>
        <b val="true"/>
        <sz val="10"/>
        <color rgb="FF1F3864"/>
        <rFont val="Arial"/>
        <family val="0"/>
        <charset val="1"/>
      </rPr>
      <t xml:space="preserve">C</t>
    </r>
    <r>
      <rPr>
        <b val="true"/>
        <sz val="10"/>
        <color rgb="FF1F3864"/>
        <rFont val="DejaVu Sans"/>
        <family val="2"/>
      </rPr>
      <t xml:space="preserve">｜月次固定費</t>
    </r>
  </si>
  <si>
    <t xml:space="preserve">両親への固定報酬</t>
  </si>
  <si>
    <r>
      <rPr>
        <sz val="10"/>
        <color rgb="FF000000"/>
        <rFont val="DejaVu Sans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月</t>
    </r>
  </si>
  <si>
    <r>
      <rPr>
        <sz val="9"/>
        <color rgb="FF000000"/>
        <rFont val="DejaVu Sans"/>
        <family val="2"/>
      </rPr>
      <t xml:space="preserve">チェックイン・庭管理・緊急対応。目安：月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DejaVu Sans"/>
        <family val="2"/>
      </rPr>
      <t xml:space="preserve">万円固定</t>
    </r>
  </si>
  <si>
    <t xml:space="preserve">光熱費（冬季は増加想定）</t>
  </si>
  <si>
    <r>
      <rPr>
        <sz val="9"/>
        <color rgb="FF000000"/>
        <rFont val="DejaVu Sans"/>
        <family val="2"/>
      </rPr>
      <t xml:space="preserve">冬季は</t>
    </r>
    <r>
      <rPr>
        <sz val="9"/>
        <color rgb="FF000000"/>
        <rFont val="Arial"/>
        <family val="0"/>
        <charset val="1"/>
      </rPr>
      <t xml:space="preserve">+2</t>
    </r>
    <r>
      <rPr>
        <sz val="9"/>
        <color rgb="FF000000"/>
        <rFont val="DejaVu Sans"/>
        <family val="2"/>
      </rPr>
      <t xml:space="preserve">万円。月次シートで季節調整</t>
    </r>
  </si>
  <si>
    <t xml:space="preserve">融資返済</t>
  </si>
  <si>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DejaVu Sans"/>
        <family val="2"/>
      </rPr>
      <t xml:space="preserve">万円・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年返済・月</t>
    </r>
    <r>
      <rPr>
        <sz val="9"/>
        <color rgb="FF000000"/>
        <rFont val="Arial"/>
        <family val="0"/>
        <charset val="1"/>
      </rPr>
      <t xml:space="preserve">15,000</t>
    </r>
    <r>
      <rPr>
        <sz val="9"/>
        <color rgb="FF000000"/>
        <rFont val="DejaVu Sans"/>
        <family val="2"/>
      </rPr>
      <t xml:space="preserve">円</t>
    </r>
  </si>
  <si>
    <t xml:space="preserve">通信費・ソフトウェア費</t>
  </si>
  <si>
    <r>
      <rPr>
        <sz val="9"/>
        <color rgb="FF000000"/>
        <rFont val="Arial"/>
        <family val="0"/>
        <charset val="1"/>
      </rPr>
      <t xml:space="preserve">Claude</t>
    </r>
    <r>
      <rPr>
        <sz val="9"/>
        <color rgb="FF000000"/>
        <rFont val="DejaVu Sans"/>
        <family val="2"/>
      </rPr>
      <t xml:space="preserve">・予約管理・</t>
    </r>
    <r>
      <rPr>
        <sz val="9"/>
        <color rgb="FF000000"/>
        <rFont val="Arial"/>
        <family val="0"/>
        <charset val="1"/>
      </rPr>
      <t xml:space="preserve">Wi-Fi</t>
    </r>
    <r>
      <rPr>
        <sz val="9"/>
        <color rgb="FF000000"/>
        <rFont val="DejaVu Sans"/>
        <family val="2"/>
      </rPr>
      <t xml:space="preserve">等</t>
    </r>
  </si>
  <si>
    <t xml:space="preserve">固定資産税等（月割）</t>
  </si>
  <si>
    <r>
      <rPr>
        <sz val="9"/>
        <color rgb="FF000000"/>
        <rFont val="DejaVu Sans"/>
        <family val="2"/>
      </rPr>
      <t xml:space="preserve">年間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DejaVu Sans"/>
        <family val="2"/>
      </rPr>
      <t xml:space="preserve">万円</t>
    </r>
    <r>
      <rPr>
        <sz val="9"/>
        <color rgb="FF000000"/>
        <rFont val="Arial"/>
        <family val="0"/>
        <charset val="1"/>
      </rPr>
      <t xml:space="preserve">÷12</t>
    </r>
    <r>
      <rPr>
        <sz val="9"/>
        <color rgb="FF000000"/>
        <rFont val="DejaVu Sans"/>
        <family val="2"/>
      </rPr>
      <t xml:space="preserve">ヶ月</t>
    </r>
  </si>
  <si>
    <t xml:space="preserve">清掃外注費（シルバー等）</t>
  </si>
  <si>
    <r>
      <rPr>
        <sz val="9"/>
        <color rgb="FF000000"/>
        <rFont val="DejaVu Sans"/>
        <family val="2"/>
      </rPr>
      <t xml:space="preserve">繁忙期はスポット追加。閑散期は</t>
    </r>
    <r>
      <rPr>
        <sz val="9"/>
        <color rgb="FF000000"/>
        <rFont val="Arial"/>
        <family val="0"/>
        <charset val="1"/>
      </rPr>
      <t xml:space="preserve">0</t>
    </r>
  </si>
  <si>
    <t xml:space="preserve">月次固定費　合計</t>
  </si>
  <si>
    <t xml:space="preserve">計算値（損益分岐点の基準）</t>
  </si>
  <si>
    <r>
      <rPr>
        <b val="true"/>
        <sz val="10"/>
        <color rgb="FF1F3864"/>
        <rFont val="Arial"/>
        <family val="0"/>
        <charset val="1"/>
      </rPr>
      <t xml:space="preserve">D</t>
    </r>
    <r>
      <rPr>
        <b val="true"/>
        <sz val="10"/>
        <color rgb="FF1F3864"/>
        <rFont val="DejaVu Sans"/>
        <family val="2"/>
      </rPr>
      <t xml:space="preserve">｜サブ収益（</t>
    </r>
    <r>
      <rPr>
        <b val="true"/>
        <sz val="10"/>
        <color rgb="FF1F3864"/>
        <rFont val="Arial"/>
        <family val="0"/>
        <charset val="1"/>
      </rPr>
      <t xml:space="preserve">MIGAKI</t>
    </r>
    <r>
      <rPr>
        <b val="true"/>
        <sz val="10"/>
        <color rgb="FF1F3864"/>
        <rFont val="DejaVu Sans"/>
        <family val="2"/>
      </rPr>
      <t xml:space="preserve">道場・コンテンツ）</t>
    </r>
  </si>
  <si>
    <r>
      <rPr>
        <sz val="10"/>
        <color rgb="FF000000"/>
        <rFont val="Arial"/>
        <family val="0"/>
        <charset val="1"/>
      </rPr>
      <t xml:space="preserve">MIGAKI</t>
    </r>
    <r>
      <rPr>
        <sz val="10"/>
        <color rgb="FF000000"/>
        <rFont val="DejaVu Sans"/>
        <family val="2"/>
      </rPr>
      <t xml:space="preserve">道場員数（白帯・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DejaVu Sans"/>
        <family val="2"/>
      </rPr>
      <t xml:space="preserve">円）</t>
    </r>
  </si>
  <si>
    <t xml:space="preserve">人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</si>
  <si>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年目の想定</t>
    </r>
  </si>
  <si>
    <r>
      <rPr>
        <sz val="10"/>
        <color rgb="FF000000"/>
        <rFont val="Arial"/>
        <family val="0"/>
        <charset val="1"/>
      </rPr>
      <t xml:space="preserve">MIGAKI</t>
    </r>
    <r>
      <rPr>
        <sz val="10"/>
        <color rgb="FF000000"/>
        <rFont val="DejaVu Sans"/>
        <family val="2"/>
      </rPr>
      <t xml:space="preserve">道場員数（青帯・</t>
    </r>
    <r>
      <rPr>
        <sz val="10"/>
        <color rgb="FF000000"/>
        <rFont val="Arial"/>
        <family val="0"/>
        <charset val="1"/>
      </rPr>
      <t xml:space="preserve">980</t>
    </r>
    <r>
      <rPr>
        <sz val="10"/>
        <color rgb="FF000000"/>
        <rFont val="DejaVu Sans"/>
        <family val="2"/>
      </rPr>
      <t xml:space="preserve">円）</t>
    </r>
  </si>
  <si>
    <r>
      <rPr>
        <sz val="10"/>
        <color rgb="FF000000"/>
        <rFont val="Arial"/>
        <family val="0"/>
        <charset val="1"/>
      </rPr>
      <t xml:space="preserve">MIGAKI</t>
    </r>
    <r>
      <rPr>
        <sz val="10"/>
        <color rgb="FF000000"/>
        <rFont val="DejaVu Sans"/>
        <family val="2"/>
      </rPr>
      <t xml:space="preserve">道場員数（黒帯・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DejaVu Sans"/>
        <family val="2"/>
      </rPr>
      <t xml:space="preserve">円）</t>
    </r>
  </si>
  <si>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DejaVu Sans"/>
        <family val="2"/>
      </rPr>
      <t xml:space="preserve">・アフィリエイト収入</t>
    </r>
  </si>
  <si>
    <t xml:space="preserve">現状規模から継続</t>
  </si>
  <si>
    <t xml:space="preserve">道場メンバーシップ月次収益</t>
  </si>
  <si>
    <t xml:space="preserve">サブ収益　月次合計</t>
  </si>
  <si>
    <r>
      <rPr>
        <sz val="9"/>
        <color rgb="FF000000"/>
        <rFont val="DejaVu Sans"/>
        <family val="2"/>
      </rPr>
      <t xml:space="preserve">道場収益＋</t>
    </r>
    <r>
      <rPr>
        <sz val="9"/>
        <color rgb="FF000000"/>
        <rFont val="Arial"/>
        <family val="0"/>
        <charset val="1"/>
      </rPr>
      <t xml:space="preserve">note</t>
    </r>
    <r>
      <rPr>
        <sz val="9"/>
        <color rgb="FF000000"/>
        <rFont val="DejaVu Sans"/>
        <family val="2"/>
      </rPr>
      <t xml:space="preserve">収益</t>
    </r>
  </si>
  <si>
    <r>
      <rPr>
        <b val="true"/>
        <sz val="10"/>
        <color rgb="FF1F3864"/>
        <rFont val="Arial"/>
        <family val="0"/>
        <charset val="1"/>
      </rPr>
      <t xml:space="preserve">E</t>
    </r>
    <r>
      <rPr>
        <b val="true"/>
        <sz val="10"/>
        <color rgb="FF1F3864"/>
        <rFont val="DejaVu Sans"/>
        <family val="2"/>
      </rPr>
      <t xml:space="preserve">｜両親への歩合報酬</t>
    </r>
  </si>
  <si>
    <r>
      <rPr>
        <sz val="10"/>
        <color rgb="FF000000"/>
        <rFont val="DejaVu Sans"/>
        <family val="2"/>
      </rPr>
      <t xml:space="preserve">組数歩合単価（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組あたり）</t>
    </r>
  </si>
  <si>
    <r>
      <rPr>
        <sz val="10"/>
        <color rgb="FF000000"/>
        <rFont val="DejaVu Sans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組</t>
    </r>
  </si>
  <si>
    <t xml:space="preserve">チェックイン対応。稼働泊数に連動</t>
  </si>
  <si>
    <r>
      <rPr>
        <b val="true"/>
        <sz val="10"/>
        <color rgb="FF1F3864"/>
        <rFont val="Arial"/>
        <family val="0"/>
        <charset val="1"/>
      </rPr>
      <t xml:space="preserve">F</t>
    </r>
    <r>
      <rPr>
        <b val="true"/>
        <sz val="10"/>
        <color rgb="FF1F3864"/>
        <rFont val="DejaVu Sans"/>
        <family val="2"/>
      </rPr>
      <t xml:space="preserve">｜損益分岐点（クイック試算）</t>
    </r>
  </si>
  <si>
    <t xml:space="preserve">月次固定費（参照）</t>
  </si>
  <si>
    <t xml:space="preserve">①前提条件シートから参照</t>
  </si>
  <si>
    <t xml:space="preserve">手取り単価（標準シナリオ）</t>
  </si>
  <si>
    <r>
      <rPr>
        <b val="true"/>
        <sz val="10"/>
        <color rgb="FF000000"/>
        <rFont val="DejaVu Sans"/>
        <family val="2"/>
      </rPr>
      <t xml:space="preserve">▶ 損益分岐点（最低必要泊数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月）</t>
    </r>
  </si>
  <si>
    <r>
      <rPr>
        <sz val="10"/>
        <color rgb="FF000000"/>
        <rFont val="DejaVu Sans"/>
        <family val="2"/>
      </rPr>
      <t xml:space="preserve">泊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月</t>
    </r>
  </si>
  <si>
    <r>
      <rPr>
        <sz val="9"/>
        <color rgb="FF000000"/>
        <rFont val="DejaVu Sans"/>
        <family val="2"/>
      </rPr>
      <t xml:space="preserve">この泊数以上で固定費回収。稼働率に換算すると</t>
    </r>
    <r>
      <rPr>
        <sz val="9"/>
        <color rgb="FF000000"/>
        <rFont val="Arial"/>
        <family val="0"/>
        <charset val="1"/>
      </rPr>
      <t xml:space="preserve">÷31</t>
    </r>
    <r>
      <rPr>
        <sz val="9"/>
        <color rgb="FF000000"/>
        <rFont val="DejaVu Sans"/>
        <family val="2"/>
      </rPr>
      <t xml:space="preserve">日</t>
    </r>
  </si>
  <si>
    <t xml:space="preserve">稼働率換算（損益分岐点）</t>
  </si>
  <si>
    <r>
      <rPr>
        <sz val="9"/>
        <color rgb="FF000000"/>
        <rFont val="DejaVu Sans"/>
        <family val="2"/>
      </rPr>
      <t xml:space="preserve">損益分岐点泊数</t>
    </r>
    <r>
      <rPr>
        <sz val="9"/>
        <color rgb="FF000000"/>
        <rFont val="Arial"/>
        <family val="0"/>
        <charset val="1"/>
      </rPr>
      <t xml:space="preserve">÷</t>
    </r>
    <r>
      <rPr>
        <sz val="9"/>
        <color rgb="FF000000"/>
        <rFont val="DejaVu Sans"/>
        <family val="2"/>
      </rPr>
      <t xml:space="preserve">月</t>
    </r>
    <r>
      <rPr>
        <sz val="9"/>
        <color rgb="FF000000"/>
        <rFont val="Arial"/>
        <family val="0"/>
        <charset val="1"/>
      </rPr>
      <t xml:space="preserve">31</t>
    </r>
    <r>
      <rPr>
        <sz val="9"/>
        <color rgb="FF000000"/>
        <rFont val="DejaVu Sans"/>
        <family val="2"/>
      </rPr>
      <t xml:space="preserve">日</t>
    </r>
  </si>
  <si>
    <r>
      <rPr>
        <b val="true"/>
        <sz val="15"/>
        <color rgb="FFFFFFFF"/>
        <rFont val="Arial"/>
        <family val="0"/>
        <charset val="1"/>
      </rPr>
      <t xml:space="preserve">MIGAKI BASE</t>
    </r>
    <r>
      <rPr>
        <b val="true"/>
        <sz val="15"/>
        <color rgb="FFFFFFFF"/>
        <rFont val="DejaVu Sans"/>
        <family val="2"/>
      </rPr>
      <t xml:space="preserve">｜月次損益シミュレーション（標準シナリオ）</t>
    </r>
  </si>
  <si>
    <t xml:space="preserve">青字＝前提条件シートからの参照　黒字＝計算式　※前提条件シートの入力値を変更すると自動更新されます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</si>
  <si>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</si>
  <si>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</si>
  <si>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</si>
  <si>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</si>
  <si>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</si>
  <si>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</si>
  <si>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</si>
  <si>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</si>
  <si>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</si>
  <si>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</si>
  <si>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</si>
  <si>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DejaVu Sans"/>
        <family val="2"/>
      </rPr>
      <t xml:space="preserve">月</t>
    </r>
  </si>
  <si>
    <t xml:space="preserve">年間合計</t>
  </si>
  <si>
    <t xml:space="preserve">稼働率</t>
  </si>
  <si>
    <t xml:space="preserve">稼働泊数（日）</t>
  </si>
  <si>
    <r>
      <rPr>
        <sz val="10"/>
        <color rgb="FF000000"/>
        <rFont val="DejaVu Sans"/>
        <family val="2"/>
      </rPr>
      <t xml:space="preserve">宿泊売上（</t>
    </r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DejaVu Sans"/>
        <family val="2"/>
      </rPr>
      <t xml:space="preserve">経由・手取り）</t>
    </r>
  </si>
  <si>
    <t xml:space="preserve">宿泊売上（直接予約・手取り）</t>
  </si>
  <si>
    <t xml:space="preserve">宿泊売上　合計</t>
  </si>
  <si>
    <r>
      <rPr>
        <sz val="10"/>
        <color rgb="FF000000"/>
        <rFont val="DejaVu Sans"/>
        <family val="2"/>
      </rPr>
      <t xml:space="preserve">サブ収益（道場＋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DejaVu Sans"/>
        <family val="2"/>
      </rPr>
      <t xml:space="preserve">）</t>
    </r>
  </si>
  <si>
    <t xml:space="preserve">▶ 売上合計</t>
  </si>
  <si>
    <t xml:space="preserve">【変動費】</t>
  </si>
  <si>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DejaVu Sans"/>
        <family val="2"/>
      </rPr>
      <t xml:space="preserve">手数料</t>
    </r>
  </si>
  <si>
    <t xml:space="preserve">両親歩合報酬</t>
  </si>
  <si>
    <t xml:space="preserve">変動費　合計</t>
  </si>
  <si>
    <t xml:space="preserve">【固定費】</t>
  </si>
  <si>
    <t xml:space="preserve">両親固定報酬</t>
  </si>
  <si>
    <t xml:space="preserve">光熱費（冬季調整込）</t>
  </si>
  <si>
    <t xml:space="preserve">通信費・ソフトウェア</t>
  </si>
  <si>
    <t xml:space="preserve">清掃外注費</t>
  </si>
  <si>
    <t xml:space="preserve">固定費　合計</t>
  </si>
  <si>
    <t xml:space="preserve">費用　合計</t>
  </si>
  <si>
    <t xml:space="preserve">▶ 月次損益</t>
  </si>
  <si>
    <t xml:space="preserve">▶ 累計損益</t>
  </si>
  <si>
    <r>
      <rPr>
        <b val="true"/>
        <sz val="15"/>
        <color rgb="FFFFFFFF"/>
        <rFont val="Arial"/>
        <family val="0"/>
        <charset val="1"/>
      </rPr>
      <t xml:space="preserve">MIGAKI BASE</t>
    </r>
    <r>
      <rPr>
        <b val="true"/>
        <sz val="15"/>
        <color rgb="FFFFFFFF"/>
        <rFont val="DejaVu Sans"/>
        <family val="2"/>
      </rPr>
      <t xml:space="preserve">｜損益分岐点分析 </t>
    </r>
    <r>
      <rPr>
        <b val="true"/>
        <sz val="15"/>
        <color rgb="FFFFFFFF"/>
        <rFont val="Arial"/>
        <family val="0"/>
        <charset val="1"/>
      </rPr>
      <t xml:space="preserve">&amp; </t>
    </r>
    <r>
      <rPr>
        <b val="true"/>
        <sz val="15"/>
        <color rgb="FFFFFFFF"/>
        <rFont val="DejaVu Sans"/>
        <family val="2"/>
      </rPr>
      <t xml:space="preserve">シナリオ比較</t>
    </r>
  </si>
  <si>
    <t xml:space="preserve">分析項目</t>
  </si>
  <si>
    <t xml:space="preserve">保守シナリオ</t>
  </si>
  <si>
    <t xml:space="preserve">標準シナリオ</t>
  </si>
  <si>
    <t xml:space="preserve">楽観シナリオ</t>
  </si>
  <si>
    <t xml:space="preserve">備考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</si>
  <si>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泊あたり単価</t>
    </r>
  </si>
  <si>
    <t xml:space="preserve">前提条件シートから参照</t>
  </si>
  <si>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DejaVu Sans"/>
        <family val="2"/>
      </rPr>
      <t xml:space="preserve">手数料控除後の手取り単価</t>
    </r>
  </si>
  <si>
    <r>
      <rPr>
        <sz val="9"/>
        <color rgb="FF000000"/>
        <rFont val="Arial"/>
        <family val="0"/>
        <charset val="1"/>
      </rPr>
      <t xml:space="preserve">OTA</t>
    </r>
    <r>
      <rPr>
        <sz val="9"/>
        <color rgb="FF000000"/>
        <rFont val="DejaVu Sans"/>
        <family val="2"/>
      </rPr>
      <t xml:space="preserve">手数料</t>
    </r>
    <r>
      <rPr>
        <sz val="9"/>
        <color rgb="FF000000"/>
        <rFont val="Arial"/>
        <family val="0"/>
        <charset val="1"/>
      </rPr>
      <t xml:space="preserve">15%</t>
    </r>
    <r>
      <rPr>
        <sz val="9"/>
        <color rgb="FF000000"/>
        <rFont val="DejaVu Sans"/>
        <family val="2"/>
      </rPr>
      <t xml:space="preserve">控除後</t>
    </r>
  </si>
  <si>
    <t xml:space="preserve">月次固定費（合計）</t>
  </si>
  <si>
    <r>
      <rPr>
        <b val="true"/>
        <sz val="10"/>
        <color rgb="FF000000"/>
        <rFont val="DejaVu Sans"/>
        <family val="2"/>
      </rPr>
      <t xml:space="preserve">損益分岐点（泊数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月）</t>
    </r>
  </si>
  <si>
    <t xml:space="preserve">この泊数を超えると固定費回収</t>
  </si>
  <si>
    <t xml:space="preserve">損益分岐点（稼働率換算）</t>
  </si>
  <si>
    <r>
      <rPr>
        <sz val="9"/>
        <color rgb="FF000000"/>
        <rFont val="DejaVu Sans"/>
        <family val="2"/>
      </rPr>
      <t xml:space="preserve">損益分岐点泊数</t>
    </r>
    <r>
      <rPr>
        <sz val="9"/>
        <color rgb="FF000000"/>
        <rFont val="Arial"/>
        <family val="0"/>
        <charset val="1"/>
      </rPr>
      <t xml:space="preserve">÷31</t>
    </r>
    <r>
      <rPr>
        <sz val="9"/>
        <color rgb="FF000000"/>
        <rFont val="DejaVu Sans"/>
        <family val="2"/>
      </rPr>
      <t xml:space="preserve">日</t>
    </r>
  </si>
  <si>
    <t xml:space="preserve">年間収益予測（稼働率別）</t>
  </si>
  <si>
    <r>
      <rPr>
        <b val="true"/>
        <sz val="10"/>
        <color rgb="FFFFFFFF"/>
        <rFont val="DejaVu Sans"/>
        <family val="2"/>
      </rPr>
      <t xml:space="preserve">保守（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DejaVu Sans"/>
        <family val="2"/>
      </rPr>
      <t xml:space="preserve">万円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泊）</t>
    </r>
  </si>
  <si>
    <r>
      <rPr>
        <b val="true"/>
        <sz val="10"/>
        <color rgb="FFFFFFFF"/>
        <rFont val="DejaVu Sans"/>
        <family val="2"/>
      </rPr>
      <t xml:space="preserve">標準（</t>
    </r>
    <r>
      <rPr>
        <b val="true"/>
        <sz val="10"/>
        <color rgb="FFFFFFFF"/>
        <rFont val="Arial"/>
        <family val="0"/>
        <charset val="1"/>
      </rPr>
      <t xml:space="preserve">6.5</t>
    </r>
    <r>
      <rPr>
        <b val="true"/>
        <sz val="10"/>
        <color rgb="FFFFFFFF"/>
        <rFont val="DejaVu Sans"/>
        <family val="2"/>
      </rPr>
      <t xml:space="preserve">万円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泊）</t>
    </r>
  </si>
  <si>
    <r>
      <rPr>
        <b val="true"/>
        <sz val="10"/>
        <color rgb="FFFFFFFF"/>
        <rFont val="DejaVu Sans"/>
        <family val="2"/>
      </rPr>
      <t xml:space="preserve">楽観（</t>
    </r>
    <r>
      <rPr>
        <b val="true"/>
        <sz val="10"/>
        <color rgb="FFFFFFFF"/>
        <rFont val="Arial"/>
        <family val="0"/>
        <charset val="1"/>
      </rPr>
      <t xml:space="preserve">8.5</t>
    </r>
    <r>
      <rPr>
        <b val="true"/>
        <sz val="10"/>
        <color rgb="FFFFFFFF"/>
        <rFont val="DejaVu Sans"/>
        <family val="2"/>
      </rPr>
      <t xml:space="preserve">万円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泊）</t>
    </r>
  </si>
  <si>
    <t xml:space="preserve">閑散期水準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</si>
  <si>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年目目標</t>
    </r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</si>
  <si>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年目目標</t>
    </r>
  </si>
  <si>
    <t xml:space="preserve">スーパーホスト後</t>
  </si>
  <si>
    <r>
      <rPr>
        <b val="true"/>
        <sz val="10"/>
        <color rgb="FF1F3864"/>
        <rFont val="Arial"/>
        <family val="0"/>
        <charset val="1"/>
      </rPr>
      <t xml:space="preserve">ROI</t>
    </r>
    <r>
      <rPr>
        <b val="true"/>
        <sz val="10"/>
        <color rgb="FF1F3864"/>
        <rFont val="DejaVu Sans"/>
        <family val="2"/>
      </rPr>
      <t xml:space="preserve">試算（投資対効果）</t>
    </r>
  </si>
  <si>
    <t xml:space="preserve">投資項目</t>
  </si>
  <si>
    <t xml:space="preserve">投資額</t>
  </si>
  <si>
    <r>
      <rPr>
        <b val="true"/>
        <sz val="10"/>
        <color rgb="FFFFFFFF"/>
        <rFont val="DejaVu Sans"/>
        <family val="2"/>
      </rPr>
      <t xml:space="preserve">年間削減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増収効果</t>
    </r>
  </si>
  <si>
    <t xml:space="preserve">回収期間</t>
  </si>
  <si>
    <t xml:space="preserve">内窓設置（断熱改修）</t>
  </si>
  <si>
    <r>
      <rPr>
        <sz val="9"/>
        <color rgb="FF000000"/>
        <rFont val="DejaVu Sans"/>
        <family val="2"/>
      </rPr>
      <t xml:space="preserve">暖房費月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万円削減</t>
    </r>
    <r>
      <rPr>
        <sz val="9"/>
        <color rgb="FF000000"/>
        <rFont val="Arial"/>
        <family val="0"/>
        <charset val="1"/>
      </rPr>
      <t xml:space="preserve">×12</t>
    </r>
    <r>
      <rPr>
        <sz val="9"/>
        <color rgb="FF000000"/>
        <rFont val="DejaVu Sans"/>
        <family val="2"/>
      </rPr>
      <t xml:space="preserve">ヶ月。省エネ補助</t>
    </r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DejaVu Sans"/>
        <family val="2"/>
      </rPr>
      <t xml:space="preserve">万適用後は回収がさらに短縮</t>
    </r>
  </si>
  <si>
    <t xml:space="preserve">キッチンリノベ</t>
  </si>
  <si>
    <r>
      <rPr>
        <sz val="9"/>
        <color rgb="FF000000"/>
        <rFont val="DejaVu Sans"/>
        <family val="2"/>
      </rPr>
      <t xml:space="preserve">高単価（</t>
    </r>
    <r>
      <rPr>
        <sz val="9"/>
        <color rgb="FF000000"/>
        <rFont val="Arial"/>
        <family val="0"/>
        <charset val="1"/>
      </rPr>
      <t xml:space="preserve">+2</t>
    </r>
    <r>
      <rPr>
        <sz val="9"/>
        <color rgb="FF000000"/>
        <rFont val="DejaVu Sans"/>
        <family val="2"/>
      </rPr>
      <t xml:space="preserve">万円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泊）</t>
    </r>
    <r>
      <rPr>
        <sz val="9"/>
        <color rgb="FF000000"/>
        <rFont val="Arial"/>
        <family val="0"/>
        <charset val="1"/>
      </rPr>
      <t xml:space="preserve">×60</t>
    </r>
    <r>
      <rPr>
        <sz val="9"/>
        <color rgb="FF000000"/>
        <rFont val="DejaVu Sans"/>
        <family val="2"/>
      </rPr>
      <t xml:space="preserve">泊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年の想定増収。持続化補助</t>
    </r>
    <r>
      <rPr>
        <sz val="9"/>
        <color rgb="FF000000"/>
        <rFont val="Arial"/>
        <family val="0"/>
        <charset val="1"/>
      </rPr>
      <t xml:space="preserve">2/3</t>
    </r>
    <r>
      <rPr>
        <sz val="9"/>
        <color rgb="FF000000"/>
        <rFont val="DejaVu Sans"/>
        <family val="2"/>
      </rPr>
      <t xml:space="preserve">適用後は実質負担</t>
    </r>
    <r>
      <rPr>
        <sz val="9"/>
        <color rgb="FF000000"/>
        <rFont val="Arial"/>
        <family val="0"/>
        <charset val="1"/>
      </rPr>
      <t xml:space="preserve">267</t>
    </r>
    <r>
      <rPr>
        <sz val="9"/>
        <color rgb="FF000000"/>
        <rFont val="DejaVu Sans"/>
        <family val="2"/>
      </rPr>
      <t xml:space="preserve">万</t>
    </r>
  </si>
  <si>
    <t xml:space="preserve">スマートロック導入</t>
  </si>
  <si>
    <t xml:space="preserve">両親の現地拘束ゼロ化・自動チェックイン。人件費的価値換算</t>
  </si>
  <si>
    <r>
      <rPr>
        <sz val="10"/>
        <color rgb="FF000000"/>
        <rFont val="Arial"/>
        <family val="0"/>
        <charset val="1"/>
      </rPr>
      <t xml:space="preserve">Airbnb</t>
    </r>
    <r>
      <rPr>
        <sz val="10"/>
        <color rgb="FF000000"/>
        <rFont val="DejaVu Sans"/>
        <family val="2"/>
      </rPr>
      <t xml:space="preserve">アカウント先行開設</t>
    </r>
  </si>
  <si>
    <r>
      <rPr>
        <sz val="9"/>
        <color rgb="FF000000"/>
        <rFont val="DejaVu Sans"/>
        <family val="2"/>
      </rPr>
      <t xml:space="preserve">ブースト期間（初期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DejaVu Sans"/>
        <family val="2"/>
      </rPr>
      <t xml:space="preserve">予約）の早期獲得価値。コストゼロ</t>
    </r>
  </si>
  <si>
    <r>
      <rPr>
        <b val="true"/>
        <sz val="10"/>
        <color rgb="FF1F3864"/>
        <rFont val="Arial"/>
        <family val="0"/>
        <charset val="1"/>
      </rPr>
      <t xml:space="preserve">LTV</t>
    </r>
    <r>
      <rPr>
        <b val="true"/>
        <sz val="10"/>
        <color rgb="FF1F3864"/>
        <rFont val="DejaVu Sans"/>
        <family val="2"/>
      </rPr>
      <t xml:space="preserve">（顧客生涯価値）試算</t>
    </r>
  </si>
  <si>
    <t xml:space="preserve">計算結果</t>
  </si>
  <si>
    <t xml:space="preserve">平均宿泊単価</t>
  </si>
  <si>
    <t xml:space="preserve">年間訪問回数（推定）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</si>
  <si>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年目</t>
    </r>
    <r>
      <rPr>
        <sz val="9"/>
        <color rgb="FF000000"/>
        <rFont val="Arial"/>
        <family val="0"/>
        <charset val="1"/>
      </rPr>
      <t xml:space="preserve">:1</t>
    </r>
    <r>
      <rPr>
        <sz val="9"/>
        <color rgb="FF000000"/>
        <rFont val="DejaVu Sans"/>
        <family val="2"/>
      </rPr>
      <t xml:space="preserve">回、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年目以降</t>
    </r>
    <r>
      <rPr>
        <sz val="9"/>
        <color rgb="FF000000"/>
        <rFont val="Arial"/>
        <family val="0"/>
        <charset val="1"/>
      </rPr>
      <t xml:space="preserve">:2</t>
    </r>
    <r>
      <rPr>
        <sz val="9"/>
        <color rgb="FF000000"/>
        <rFont val="DejaVu Sans"/>
        <family val="2"/>
      </rPr>
      <t xml:space="preserve">回想定の平均</t>
    </r>
  </si>
  <si>
    <t xml:space="preserve">リピート継続年数</t>
  </si>
  <si>
    <t xml:space="preserve">ブランドロイヤルティ向上想定</t>
  </si>
  <si>
    <r>
      <rPr>
        <b val="true"/>
        <sz val="10"/>
        <color rgb="FF000000"/>
        <rFont val="Arial"/>
        <family val="0"/>
        <charset val="1"/>
      </rPr>
      <t xml:space="preserve">LTV</t>
    </r>
    <r>
      <rPr>
        <b val="true"/>
        <sz val="10"/>
        <color rgb="FF000000"/>
        <rFont val="DejaVu Sans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DejaVu Sans"/>
        <family val="2"/>
      </rPr>
      <t xml:space="preserve">ゲスト）</t>
    </r>
  </si>
  <si>
    <r>
      <rPr>
        <sz val="9"/>
        <color rgb="FF000000"/>
        <rFont val="DejaVu Sans"/>
        <family val="2"/>
      </rPr>
      <t xml:space="preserve">年間単価</t>
    </r>
    <r>
      <rPr>
        <sz val="9"/>
        <color rgb="FF000000"/>
        <rFont val="Arial"/>
        <family val="0"/>
        <charset val="1"/>
      </rPr>
      <t xml:space="preserve">×</t>
    </r>
    <r>
      <rPr>
        <sz val="9"/>
        <color rgb="FF000000"/>
        <rFont val="DejaVu Sans"/>
        <family val="2"/>
      </rPr>
      <t xml:space="preserve">訪問回数</t>
    </r>
    <r>
      <rPr>
        <sz val="9"/>
        <color rgb="FF000000"/>
        <rFont val="Arial"/>
        <family val="0"/>
        <charset val="1"/>
      </rPr>
      <t xml:space="preserve">×</t>
    </r>
    <r>
      <rPr>
        <sz val="9"/>
        <color rgb="FF000000"/>
        <rFont val="DejaVu Sans"/>
        <family val="2"/>
      </rPr>
      <t xml:space="preserve">継続年数</t>
    </r>
  </si>
  <si>
    <r>
      <rPr>
        <sz val="10"/>
        <color rgb="FF000000"/>
        <rFont val="Arial"/>
        <family val="0"/>
        <charset val="1"/>
      </rPr>
      <t xml:space="preserve">MIGAKI</t>
    </r>
    <r>
      <rPr>
        <sz val="10"/>
        <color rgb="FF000000"/>
        <rFont val="DejaVu Sans"/>
        <family val="2"/>
      </rPr>
      <t xml:space="preserve">道場員</t>
    </r>
    <r>
      <rPr>
        <sz val="10"/>
        <color rgb="FF000000"/>
        <rFont val="Arial"/>
        <family val="0"/>
        <charset val="1"/>
      </rPr>
      <t xml:space="preserve">LTV</t>
    </r>
    <r>
      <rPr>
        <sz val="10"/>
        <color rgb="FF000000"/>
        <rFont val="DejaVu Sans"/>
        <family val="2"/>
      </rPr>
      <t xml:space="preserve">（黒帯・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DejaVu Sans"/>
        <family val="2"/>
      </rPr>
      <t xml:space="preserve">ヶ月）</t>
    </r>
  </si>
  <si>
    <r>
      <rPr>
        <sz val="9"/>
        <color rgb="FF000000"/>
        <rFont val="DejaVu Sans"/>
        <family val="2"/>
      </rPr>
      <t xml:space="preserve">月</t>
    </r>
    <r>
      <rPr>
        <sz val="9"/>
        <color rgb="FF000000"/>
        <rFont val="Arial"/>
        <family val="0"/>
        <charset val="1"/>
      </rPr>
      <t xml:space="preserve">3,000</t>
    </r>
    <r>
      <rPr>
        <sz val="9"/>
        <color rgb="FF000000"/>
        <rFont val="DejaVu Sans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×36</t>
    </r>
    <r>
      <rPr>
        <sz val="9"/>
        <color rgb="FF000000"/>
        <rFont val="DejaVu Sans"/>
        <family val="2"/>
      </rPr>
      <t xml:space="preserve">ヶ月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</si>
</sst>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\年"/>
    <numFmt numFmtId="168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sz val="9"/>
      <color rgb="FF888888"/>
      <name val="DejaVu Sans"/>
      <family val="2"/>
    </font>
    <font>
      <sz val="9"/>
      <color rgb="FF888888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1F3864"/>
      <name val="DejaVu Sans"/>
      <family val="2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sz val="10"/>
      <color rgb="FF0000FF"/>
      <name val="Arial"/>
      <family val="0"/>
      <charset val="1"/>
    </font>
    <font>
      <sz val="9"/>
      <color rgb="FF000000"/>
      <name val="DejaVu Sans"/>
      <family val="2"/>
    </font>
    <font>
      <sz val="9"/>
      <color rgb="FF000000"/>
      <name val="Arial"/>
      <family val="0"/>
      <charset val="1"/>
    </font>
    <font>
      <b val="true"/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DejaVu Sans"/>
      <family val="2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BF0FA"/>
      </patternFill>
    </fill>
    <fill>
      <patternFill patternType="solid">
        <fgColor rgb="FF2E75B6"/>
        <bgColor rgb="FF0066CC"/>
      </patternFill>
    </fill>
    <fill>
      <patternFill patternType="solid">
        <fgColor rgb="FFEBF0F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5E8F0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D5E8F0"/>
      </patternFill>
    </fill>
    <fill>
      <patternFill patternType="solid">
        <fgColor rgb="FF375623"/>
        <bgColor rgb="FF333300"/>
      </patternFill>
    </fill>
    <fill>
      <patternFill patternType="solid">
        <fgColor rgb="FF843C0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2F2F2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3.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8" hidden="false" customHeight="true" outlineLevel="0" collapsed="false">
      <c r="A4" s="4" t="s">
        <v>6</v>
      </c>
      <c r="B4" s="5"/>
      <c r="C4" s="5"/>
      <c r="D4" s="5"/>
    </row>
    <row r="5" customFormat="false" ht="15.75" hidden="false" customHeight="true" outlineLevel="0" collapsed="false">
      <c r="A5" s="6" t="s">
        <v>7</v>
      </c>
      <c r="B5" s="7" t="n">
        <v>50000</v>
      </c>
      <c r="C5" s="8" t="s">
        <v>8</v>
      </c>
      <c r="D5" s="9" t="s">
        <v>9</v>
      </c>
    </row>
    <row r="6" customFormat="false" ht="15.75" hidden="false" customHeight="true" outlineLevel="0" collapsed="false">
      <c r="A6" s="6" t="s">
        <v>10</v>
      </c>
      <c r="B6" s="7" t="n">
        <v>65000</v>
      </c>
      <c r="C6" s="8" t="s">
        <v>8</v>
      </c>
      <c r="D6" s="10" t="s">
        <v>11</v>
      </c>
    </row>
    <row r="7" customFormat="false" ht="15.75" hidden="false" customHeight="true" outlineLevel="0" collapsed="false">
      <c r="A7" s="6" t="s">
        <v>12</v>
      </c>
      <c r="B7" s="7" t="n">
        <v>85000</v>
      </c>
      <c r="C7" s="8" t="s">
        <v>8</v>
      </c>
      <c r="D7" s="9" t="s">
        <v>13</v>
      </c>
    </row>
    <row r="8" customFormat="false" ht="15.75" hidden="false" customHeight="true" outlineLevel="0" collapsed="false">
      <c r="A8" s="6" t="s">
        <v>14</v>
      </c>
      <c r="B8" s="11" t="n">
        <v>0.15</v>
      </c>
      <c r="C8" s="12" t="s">
        <v>15</v>
      </c>
      <c r="D8" s="10" t="s">
        <v>16</v>
      </c>
    </row>
    <row r="9" customFormat="false" ht="15.75" hidden="false" customHeight="true" outlineLevel="0" collapsed="false">
      <c r="A9" s="13" t="s">
        <v>17</v>
      </c>
      <c r="B9" s="11" t="n">
        <v>0.1</v>
      </c>
      <c r="C9" s="12" t="s">
        <v>15</v>
      </c>
      <c r="D9" s="10" t="s">
        <v>18</v>
      </c>
    </row>
    <row r="10" customFormat="false" ht="15.75" hidden="false" customHeight="true" outlineLevel="0" collapsed="false">
      <c r="A10" s="14" t="s">
        <v>19</v>
      </c>
      <c r="B10" s="15" t="n">
        <f aca="false">B6*(1-B7)</f>
        <v>-5524935000</v>
      </c>
      <c r="C10" s="16" t="s">
        <v>8</v>
      </c>
      <c r="D10" s="17" t="s">
        <v>20</v>
      </c>
    </row>
    <row r="11" customFormat="false" ht="18" hidden="false" customHeight="true" outlineLevel="0" collapsed="false">
      <c r="A11" s="4" t="s">
        <v>21</v>
      </c>
      <c r="B11" s="5"/>
      <c r="C11" s="5"/>
      <c r="D11" s="5"/>
    </row>
    <row r="12" customFormat="false" ht="15.75" hidden="false" customHeight="true" outlineLevel="0" collapsed="false">
      <c r="A12" s="6" t="s">
        <v>22</v>
      </c>
      <c r="B12" s="11" t="n">
        <v>0.6</v>
      </c>
      <c r="C12" s="12" t="s">
        <v>15</v>
      </c>
      <c r="D12" s="9" t="s">
        <v>23</v>
      </c>
    </row>
    <row r="13" customFormat="false" ht="15.75" hidden="false" customHeight="true" outlineLevel="0" collapsed="false">
      <c r="A13" s="6" t="s">
        <v>24</v>
      </c>
      <c r="B13" s="11" t="n">
        <v>0.65</v>
      </c>
      <c r="C13" s="12" t="s">
        <v>15</v>
      </c>
      <c r="D13" s="9" t="s">
        <v>25</v>
      </c>
    </row>
    <row r="14" customFormat="false" ht="15.75" hidden="false" customHeight="true" outlineLevel="0" collapsed="false">
      <c r="A14" s="6" t="s">
        <v>26</v>
      </c>
      <c r="B14" s="18" t="n">
        <v>0.35</v>
      </c>
      <c r="C14" s="12" t="s">
        <v>15</v>
      </c>
      <c r="D14" s="9" t="s">
        <v>27</v>
      </c>
    </row>
    <row r="15" customFormat="false" ht="15.75" hidden="false" customHeight="true" outlineLevel="0" collapsed="false">
      <c r="A15" s="6" t="s">
        <v>28</v>
      </c>
      <c r="B15" s="18" t="n">
        <v>0.25</v>
      </c>
      <c r="C15" s="12" t="s">
        <v>15</v>
      </c>
      <c r="D15" s="9" t="s">
        <v>29</v>
      </c>
    </row>
    <row r="16" customFormat="false" ht="15.75" hidden="false" customHeight="true" outlineLevel="0" collapsed="false">
      <c r="A16" s="6" t="s">
        <v>30</v>
      </c>
      <c r="B16" s="19" t="n">
        <v>0.2</v>
      </c>
      <c r="C16" s="12" t="s">
        <v>15</v>
      </c>
      <c r="D16" s="9" t="s">
        <v>29</v>
      </c>
    </row>
    <row r="17" customFormat="false" ht="15.75" hidden="false" customHeight="true" outlineLevel="0" collapsed="false">
      <c r="A17" s="6" t="s">
        <v>31</v>
      </c>
      <c r="B17" s="19" t="n">
        <v>0.2</v>
      </c>
      <c r="C17" s="12" t="s">
        <v>15</v>
      </c>
      <c r="D17" s="9" t="s">
        <v>29</v>
      </c>
    </row>
    <row r="18" customFormat="false" ht="15.75" hidden="false" customHeight="true" outlineLevel="0" collapsed="false">
      <c r="A18" s="6" t="s">
        <v>32</v>
      </c>
      <c r="B18" s="18" t="n">
        <v>0.4</v>
      </c>
      <c r="C18" s="12" t="s">
        <v>15</v>
      </c>
      <c r="D18" s="9" t="s">
        <v>33</v>
      </c>
    </row>
    <row r="19" customFormat="false" ht="15.75" hidden="false" customHeight="true" outlineLevel="0" collapsed="false">
      <c r="A19" s="6" t="s">
        <v>34</v>
      </c>
      <c r="B19" s="11" t="n">
        <v>0.45</v>
      </c>
      <c r="C19" s="12" t="s">
        <v>15</v>
      </c>
      <c r="D19" s="9" t="s">
        <v>35</v>
      </c>
    </row>
    <row r="20" customFormat="false" ht="15.75" hidden="false" customHeight="true" outlineLevel="0" collapsed="false">
      <c r="A20" s="6" t="s">
        <v>36</v>
      </c>
      <c r="B20" s="18" t="n">
        <v>0.25</v>
      </c>
      <c r="C20" s="12" t="s">
        <v>15</v>
      </c>
      <c r="D20" s="9" t="s">
        <v>29</v>
      </c>
    </row>
    <row r="21" customFormat="false" ht="15.75" hidden="false" customHeight="true" outlineLevel="0" collapsed="false">
      <c r="A21" s="6" t="s">
        <v>37</v>
      </c>
      <c r="B21" s="19" t="n">
        <v>0.2</v>
      </c>
      <c r="C21" s="12" t="s">
        <v>15</v>
      </c>
      <c r="D21" s="9" t="s">
        <v>38</v>
      </c>
    </row>
    <row r="22" customFormat="false" ht="15.75" hidden="false" customHeight="true" outlineLevel="0" collapsed="false">
      <c r="A22" s="6" t="s">
        <v>39</v>
      </c>
      <c r="B22" s="18" t="n">
        <v>0.25</v>
      </c>
      <c r="C22" s="12" t="s">
        <v>15</v>
      </c>
      <c r="D22" s="9" t="s">
        <v>29</v>
      </c>
    </row>
    <row r="23" customFormat="false" ht="15.75" hidden="false" customHeight="true" outlineLevel="0" collapsed="false">
      <c r="A23" s="6" t="s">
        <v>40</v>
      </c>
      <c r="B23" s="11" t="n">
        <v>0.55</v>
      </c>
      <c r="C23" s="12" t="s">
        <v>15</v>
      </c>
      <c r="D23" s="9" t="s">
        <v>41</v>
      </c>
    </row>
    <row r="24" customFormat="false" ht="15.75" hidden="false" customHeight="true" outlineLevel="0" collapsed="false">
      <c r="A24" s="20" t="s">
        <v>42</v>
      </c>
      <c r="B24" s="21" t="n">
        <f aca="false">AVERAGE(B12:B23)</f>
        <v>0.3625</v>
      </c>
      <c r="C24" s="22" t="s">
        <v>15</v>
      </c>
      <c r="D24" s="23" t="s">
        <v>43</v>
      </c>
    </row>
    <row r="25" customFormat="false" ht="18" hidden="false" customHeight="true" outlineLevel="0" collapsed="false">
      <c r="A25" s="4" t="s">
        <v>44</v>
      </c>
      <c r="B25" s="5"/>
      <c r="C25" s="5"/>
      <c r="D25" s="5"/>
    </row>
    <row r="26" customFormat="false" ht="15.75" hidden="false" customHeight="true" outlineLevel="0" collapsed="false">
      <c r="A26" s="13" t="s">
        <v>45</v>
      </c>
      <c r="B26" s="7" t="n">
        <v>50000</v>
      </c>
      <c r="C26" s="8" t="s">
        <v>46</v>
      </c>
      <c r="D26" s="9" t="s">
        <v>47</v>
      </c>
    </row>
    <row r="27" customFormat="false" ht="15.75" hidden="false" customHeight="true" outlineLevel="0" collapsed="false">
      <c r="A27" s="13" t="s">
        <v>48</v>
      </c>
      <c r="B27" s="7" t="n">
        <v>40000</v>
      </c>
      <c r="C27" s="8" t="s">
        <v>46</v>
      </c>
      <c r="D27" s="9" t="s">
        <v>49</v>
      </c>
    </row>
    <row r="28" customFormat="false" ht="15.75" hidden="false" customHeight="true" outlineLevel="0" collapsed="false">
      <c r="A28" s="13" t="s">
        <v>50</v>
      </c>
      <c r="B28" s="7" t="n">
        <v>15000</v>
      </c>
      <c r="C28" s="8" t="s">
        <v>46</v>
      </c>
      <c r="D28" s="10" t="s">
        <v>51</v>
      </c>
    </row>
    <row r="29" customFormat="false" ht="15.75" hidden="false" customHeight="true" outlineLevel="0" collapsed="false">
      <c r="A29" s="13" t="s">
        <v>52</v>
      </c>
      <c r="B29" s="7" t="n">
        <v>7000</v>
      </c>
      <c r="C29" s="8" t="s">
        <v>46</v>
      </c>
      <c r="D29" s="10" t="s">
        <v>53</v>
      </c>
    </row>
    <row r="30" customFormat="false" ht="15.75" hidden="false" customHeight="true" outlineLevel="0" collapsed="false">
      <c r="A30" s="13" t="s">
        <v>54</v>
      </c>
      <c r="B30" s="7" t="n">
        <v>8333</v>
      </c>
      <c r="C30" s="8" t="s">
        <v>46</v>
      </c>
      <c r="D30" s="9" t="s">
        <v>55</v>
      </c>
    </row>
    <row r="31" customFormat="false" ht="15.75" hidden="false" customHeight="true" outlineLevel="0" collapsed="false">
      <c r="A31" s="13" t="s">
        <v>56</v>
      </c>
      <c r="B31" s="7" t="n">
        <v>20000</v>
      </c>
      <c r="C31" s="8" t="s">
        <v>46</v>
      </c>
      <c r="D31" s="9" t="s">
        <v>57</v>
      </c>
    </row>
    <row r="32" customFormat="false" ht="15.75" hidden="false" customHeight="true" outlineLevel="0" collapsed="false">
      <c r="A32" s="20" t="s">
        <v>58</v>
      </c>
      <c r="B32" s="24" t="n">
        <f aca="false">SUM(B26:B31)</f>
        <v>140333</v>
      </c>
      <c r="C32" s="16" t="s">
        <v>46</v>
      </c>
      <c r="D32" s="23" t="s">
        <v>59</v>
      </c>
    </row>
    <row r="33" customFormat="false" ht="18" hidden="false" customHeight="true" outlineLevel="0" collapsed="false">
      <c r="A33" s="4" t="s">
        <v>60</v>
      </c>
      <c r="B33" s="5"/>
      <c r="C33" s="5"/>
      <c r="D33" s="5"/>
    </row>
    <row r="34" customFormat="false" ht="15.75" hidden="false" customHeight="true" outlineLevel="0" collapsed="false">
      <c r="A34" s="6" t="s">
        <v>61</v>
      </c>
      <c r="B34" s="7" t="n">
        <v>20</v>
      </c>
      <c r="C34" s="8" t="s">
        <v>62</v>
      </c>
      <c r="D34" s="10" t="s">
        <v>63</v>
      </c>
    </row>
    <row r="35" customFormat="false" ht="15.75" hidden="false" customHeight="true" outlineLevel="0" collapsed="false">
      <c r="A35" s="6" t="s">
        <v>64</v>
      </c>
      <c r="B35" s="7" t="n">
        <v>15</v>
      </c>
      <c r="C35" s="8" t="s">
        <v>62</v>
      </c>
      <c r="D35" s="10" t="s">
        <v>63</v>
      </c>
    </row>
    <row r="36" customFormat="false" ht="15.75" hidden="false" customHeight="true" outlineLevel="0" collapsed="false">
      <c r="A36" s="6" t="s">
        <v>65</v>
      </c>
      <c r="B36" s="7" t="n">
        <v>5</v>
      </c>
      <c r="C36" s="8" t="s">
        <v>62</v>
      </c>
      <c r="D36" s="10" t="s">
        <v>63</v>
      </c>
    </row>
    <row r="37" customFormat="false" ht="15.75" hidden="false" customHeight="true" outlineLevel="0" collapsed="false">
      <c r="A37" s="6" t="s">
        <v>66</v>
      </c>
      <c r="B37" s="7" t="n">
        <v>30000</v>
      </c>
      <c r="C37" s="8" t="s">
        <v>46</v>
      </c>
      <c r="D37" s="9" t="s">
        <v>67</v>
      </c>
    </row>
    <row r="38" customFormat="false" ht="15.75" hidden="false" customHeight="true" outlineLevel="0" collapsed="false">
      <c r="A38" s="14" t="s">
        <v>68</v>
      </c>
      <c r="B38" s="15" t="n">
        <f aca="false">B34*500+B35*980+B36*3000</f>
        <v>39700</v>
      </c>
      <c r="C38" s="16" t="s">
        <v>46</v>
      </c>
      <c r="D38" s="23" t="s">
        <v>43</v>
      </c>
    </row>
    <row r="39" customFormat="false" ht="15.75" hidden="false" customHeight="true" outlineLevel="0" collapsed="false">
      <c r="A39" s="20" t="s">
        <v>69</v>
      </c>
      <c r="B39" s="24" t="n">
        <f aca="false">B38+B37</f>
        <v>69700</v>
      </c>
      <c r="C39" s="16" t="s">
        <v>46</v>
      </c>
      <c r="D39" s="23" t="s">
        <v>70</v>
      </c>
    </row>
    <row r="40" customFormat="false" ht="18" hidden="false" customHeight="true" outlineLevel="0" collapsed="false">
      <c r="A40" s="4" t="s">
        <v>71</v>
      </c>
      <c r="B40" s="5"/>
      <c r="C40" s="5"/>
      <c r="D40" s="5"/>
    </row>
    <row r="41" customFormat="false" ht="15.75" hidden="false" customHeight="true" outlineLevel="0" collapsed="false">
      <c r="A41" s="13" t="s">
        <v>72</v>
      </c>
      <c r="B41" s="7" t="n">
        <v>500</v>
      </c>
      <c r="C41" s="8" t="s">
        <v>73</v>
      </c>
      <c r="D41" s="9" t="s">
        <v>74</v>
      </c>
    </row>
    <row r="42" customFormat="false" ht="18" hidden="false" customHeight="true" outlineLevel="0" collapsed="false">
      <c r="A42" s="4" t="s">
        <v>75</v>
      </c>
      <c r="B42" s="5"/>
      <c r="C42" s="5"/>
      <c r="D42" s="5"/>
    </row>
    <row r="43" customFormat="false" ht="15.75" hidden="false" customHeight="true" outlineLevel="0" collapsed="false">
      <c r="A43" s="13" t="s">
        <v>76</v>
      </c>
      <c r="B43" s="25" t="n">
        <f aca="false">B32</f>
        <v>140333</v>
      </c>
      <c r="C43" s="8" t="s">
        <v>46</v>
      </c>
      <c r="D43" s="9" t="s">
        <v>77</v>
      </c>
    </row>
    <row r="44" customFormat="false" ht="15.75" hidden="false" customHeight="true" outlineLevel="0" collapsed="false">
      <c r="A44" s="13" t="s">
        <v>78</v>
      </c>
      <c r="B44" s="25" t="n">
        <f aca="false">B9</f>
        <v>0.1</v>
      </c>
      <c r="C44" s="8" t="s">
        <v>8</v>
      </c>
      <c r="D44" s="9" t="s">
        <v>77</v>
      </c>
    </row>
    <row r="45" customFormat="false" ht="19.5" hidden="false" customHeight="true" outlineLevel="0" collapsed="false">
      <c r="A45" s="26" t="s">
        <v>79</v>
      </c>
      <c r="B45" s="27" t="n">
        <f aca="false">CEILING(B43/B44,1)</f>
        <v>1403330</v>
      </c>
      <c r="C45" s="28" t="s">
        <v>80</v>
      </c>
      <c r="D45" s="29" t="s">
        <v>81</v>
      </c>
    </row>
    <row r="46" customFormat="false" ht="15.75" hidden="false" customHeight="true" outlineLevel="0" collapsed="false">
      <c r="A46" s="14" t="s">
        <v>82</v>
      </c>
      <c r="B46" s="30" t="n">
        <f aca="false">B45/31</f>
        <v>45268.7096774194</v>
      </c>
      <c r="C46" s="22" t="s">
        <v>15</v>
      </c>
      <c r="D46" s="23" t="s">
        <v>83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0"/>
    <col collapsed="false" customWidth="true" hidden="false" outlineLevel="0" max="14" min="14" style="0" width="12"/>
  </cols>
  <sheetData>
    <row r="1" customFormat="false" ht="36" hidden="false" customHeight="true" outlineLevel="0" collapsed="false">
      <c r="A1" s="31" t="s">
        <v>84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customFormat="false" ht="13.5" hidden="false" customHeight="true" outlineLevel="0" collapsed="false">
      <c r="A2" s="2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32" t="s">
        <v>2</v>
      </c>
      <c r="B3" s="33" t="s">
        <v>86</v>
      </c>
      <c r="C3" s="33" t="s">
        <v>87</v>
      </c>
      <c r="D3" s="33" t="s">
        <v>88</v>
      </c>
      <c r="E3" s="33" t="s">
        <v>89</v>
      </c>
      <c r="F3" s="33" t="s">
        <v>90</v>
      </c>
      <c r="G3" s="33" t="s">
        <v>91</v>
      </c>
      <c r="H3" s="33" t="s">
        <v>92</v>
      </c>
      <c r="I3" s="33" t="s">
        <v>93</v>
      </c>
      <c r="J3" s="33" t="s">
        <v>94</v>
      </c>
      <c r="K3" s="33" t="s">
        <v>95</v>
      </c>
      <c r="L3" s="33" t="s">
        <v>96</v>
      </c>
      <c r="M3" s="33" t="s">
        <v>97</v>
      </c>
      <c r="N3" s="32" t="s">
        <v>98</v>
      </c>
    </row>
    <row r="4" customFormat="false" ht="16.5" hidden="false" customHeight="true" outlineLevel="0" collapsed="false">
      <c r="A4" s="13" t="s">
        <v>99</v>
      </c>
      <c r="B4" s="34" t="n">
        <f aca="false">'①前提条件'!B12</f>
        <v>0.6</v>
      </c>
      <c r="C4" s="34" t="n">
        <f aca="false">'①前提条件'!B13</f>
        <v>0.65</v>
      </c>
      <c r="D4" s="34" t="n">
        <f aca="false">'①前提条件'!B14</f>
        <v>0.35</v>
      </c>
      <c r="E4" s="34" t="n">
        <f aca="false">'①前提条件'!B15</f>
        <v>0.25</v>
      </c>
      <c r="F4" s="34" t="n">
        <f aca="false">'①前提条件'!B16</f>
        <v>0.2</v>
      </c>
      <c r="G4" s="34" t="n">
        <f aca="false">'①前提条件'!B17</f>
        <v>0.2</v>
      </c>
      <c r="H4" s="34" t="n">
        <f aca="false">'①前提条件'!B18</f>
        <v>0.4</v>
      </c>
      <c r="I4" s="34" t="n">
        <f aca="false">'①前提条件'!B19</f>
        <v>0.45</v>
      </c>
      <c r="J4" s="34" t="n">
        <f aca="false">'①前提条件'!B20</f>
        <v>0.25</v>
      </c>
      <c r="K4" s="34" t="n">
        <f aca="false">'①前提条件'!B21</f>
        <v>0.2</v>
      </c>
      <c r="L4" s="34" t="n">
        <f aca="false">'①前提条件'!B22</f>
        <v>0.25</v>
      </c>
      <c r="M4" s="34" t="n">
        <f aca="false">'①前提条件'!B23</f>
        <v>0.55</v>
      </c>
      <c r="N4" s="21" t="n">
        <f aca="false">AVERAGE(B4:M4)</f>
        <v>0.3625</v>
      </c>
    </row>
    <row r="5" customFormat="false" ht="16.5" hidden="false" customHeight="true" outlineLevel="0" collapsed="false">
      <c r="A5" s="13" t="s">
        <v>100</v>
      </c>
      <c r="B5" s="35" t="n">
        <f aca="false">ROUND(B4*31,0)</f>
        <v>19</v>
      </c>
      <c r="C5" s="35" t="n">
        <f aca="false">ROUND(C4*31,0)</f>
        <v>20</v>
      </c>
      <c r="D5" s="35" t="n">
        <f aca="false">ROUND(D4*31,0)</f>
        <v>11</v>
      </c>
      <c r="E5" s="35" t="n">
        <f aca="false">ROUND(E4*31,0)</f>
        <v>8</v>
      </c>
      <c r="F5" s="35" t="n">
        <f aca="false">ROUND(F4*31,0)</f>
        <v>6</v>
      </c>
      <c r="G5" s="35" t="n">
        <f aca="false">ROUND(G4*31,0)</f>
        <v>6</v>
      </c>
      <c r="H5" s="35" t="n">
        <f aca="false">ROUND(H4*31,0)</f>
        <v>12</v>
      </c>
      <c r="I5" s="35" t="n">
        <f aca="false">ROUND(I4*31,0)</f>
        <v>14</v>
      </c>
      <c r="J5" s="35" t="n">
        <f aca="false">ROUND(J4*31,0)</f>
        <v>8</v>
      </c>
      <c r="K5" s="35" t="n">
        <f aca="false">ROUND(K4*31,0)</f>
        <v>6</v>
      </c>
      <c r="L5" s="35" t="n">
        <f aca="false">ROUND(L4*31,0)</f>
        <v>8</v>
      </c>
      <c r="M5" s="35" t="n">
        <f aca="false">ROUND(M4*31,0)</f>
        <v>17</v>
      </c>
      <c r="N5" s="24" t="n">
        <f aca="false">SUM(B5:M5)</f>
        <v>135</v>
      </c>
    </row>
    <row r="6" customFormat="false" ht="16.5" hidden="false" customHeight="true" outlineLevel="0" collapsed="false">
      <c r="A6" s="13" t="s">
        <v>101</v>
      </c>
      <c r="B6" s="35" t="n">
        <f aca="false">B5*(1-'①前提条件'!B8)*'①前提条件'!B9</f>
        <v>1.615</v>
      </c>
      <c r="C6" s="35" t="n">
        <f aca="false">C5*(1-'①前提条件'!B8)*'①前提条件'!B9</f>
        <v>1.7</v>
      </c>
      <c r="D6" s="35" t="n">
        <f aca="false">D5*(1-'①前提条件'!B8)*'①前提条件'!B9</f>
        <v>0.935</v>
      </c>
      <c r="E6" s="35" t="n">
        <f aca="false">E5*(1-'①前提条件'!B8)*'①前提条件'!B9</f>
        <v>0.68</v>
      </c>
      <c r="F6" s="35" t="n">
        <f aca="false">F5*(1-'①前提条件'!B8)*'①前提条件'!B9</f>
        <v>0.51</v>
      </c>
      <c r="G6" s="35" t="n">
        <f aca="false">G5*(1-'①前提条件'!B8)*'①前提条件'!B9</f>
        <v>0.51</v>
      </c>
      <c r="H6" s="35" t="n">
        <f aca="false">H5*(1-'①前提条件'!B8)*'①前提条件'!B9</f>
        <v>1.02</v>
      </c>
      <c r="I6" s="35" t="n">
        <f aca="false">I5*(1-'①前提条件'!B8)*'①前提条件'!B9</f>
        <v>1.19</v>
      </c>
      <c r="J6" s="35" t="n">
        <f aca="false">J5*(1-'①前提条件'!B8)*'①前提条件'!B9</f>
        <v>0.68</v>
      </c>
      <c r="K6" s="35" t="n">
        <f aca="false">K5*(1-'①前提条件'!B8)*'①前提条件'!B9</f>
        <v>0.51</v>
      </c>
      <c r="L6" s="35" t="n">
        <f aca="false">L5*(1-'①前提条件'!B8)*'①前提条件'!B9</f>
        <v>0.68</v>
      </c>
      <c r="M6" s="35" t="n">
        <f aca="false">M5*(1-'①前提条件'!B8)*'①前提条件'!B9</f>
        <v>1.445</v>
      </c>
      <c r="N6" s="24" t="n">
        <f aca="false">SUM(B6:M6)</f>
        <v>11.475</v>
      </c>
    </row>
    <row r="7" customFormat="false" ht="16.5" hidden="false" customHeight="true" outlineLevel="0" collapsed="false">
      <c r="A7" s="13" t="s">
        <v>102</v>
      </c>
      <c r="B7" s="35" t="n">
        <f aca="false">B5*'①前提条件'!B8*'①前提条件'!B6</f>
        <v>185250</v>
      </c>
      <c r="C7" s="35" t="n">
        <f aca="false">C5*'①前提条件'!B8*'①前提条件'!B6</f>
        <v>195000</v>
      </c>
      <c r="D7" s="35" t="n">
        <f aca="false">D5*'①前提条件'!B8*'①前提条件'!B6</f>
        <v>107250</v>
      </c>
      <c r="E7" s="35" t="n">
        <f aca="false">E5*'①前提条件'!B8*'①前提条件'!B6</f>
        <v>78000</v>
      </c>
      <c r="F7" s="35" t="n">
        <f aca="false">F5*'①前提条件'!B8*'①前提条件'!B6</f>
        <v>58500</v>
      </c>
      <c r="G7" s="35" t="n">
        <f aca="false">G5*'①前提条件'!B8*'①前提条件'!B6</f>
        <v>58500</v>
      </c>
      <c r="H7" s="35" t="n">
        <f aca="false">H5*'①前提条件'!B8*'①前提条件'!B6</f>
        <v>117000</v>
      </c>
      <c r="I7" s="35" t="n">
        <f aca="false">I5*'①前提条件'!B8*'①前提条件'!B6</f>
        <v>136500</v>
      </c>
      <c r="J7" s="35" t="n">
        <f aca="false">J5*'①前提条件'!B8*'①前提条件'!B6</f>
        <v>78000</v>
      </c>
      <c r="K7" s="35" t="n">
        <f aca="false">K5*'①前提条件'!B8*'①前提条件'!B6</f>
        <v>58500</v>
      </c>
      <c r="L7" s="35" t="n">
        <f aca="false">L5*'①前提条件'!B8*'①前提条件'!B6</f>
        <v>78000</v>
      </c>
      <c r="M7" s="35" t="n">
        <f aca="false">M5*'①前提条件'!B8*'①前提条件'!B6</f>
        <v>165750</v>
      </c>
      <c r="N7" s="24" t="n">
        <f aca="false">SUM(B7:M7)</f>
        <v>1316250</v>
      </c>
    </row>
    <row r="8" customFormat="false" ht="16.5" hidden="false" customHeight="true" outlineLevel="0" collapsed="false">
      <c r="A8" s="13" t="s">
        <v>103</v>
      </c>
      <c r="B8" s="36" t="n">
        <f aca="false">B6+B7</f>
        <v>185251.615</v>
      </c>
      <c r="C8" s="36" t="n">
        <f aca="false">C6+C7</f>
        <v>195001.7</v>
      </c>
      <c r="D8" s="36" t="n">
        <f aca="false">D6+D7</f>
        <v>107250.935</v>
      </c>
      <c r="E8" s="36" t="n">
        <f aca="false">E6+E7</f>
        <v>78000.68</v>
      </c>
      <c r="F8" s="36" t="n">
        <f aca="false">F6+F7</f>
        <v>58500.51</v>
      </c>
      <c r="G8" s="36" t="n">
        <f aca="false">G6+G7</f>
        <v>58500.51</v>
      </c>
      <c r="H8" s="36" t="n">
        <f aca="false">H6+H7</f>
        <v>117001.02</v>
      </c>
      <c r="I8" s="36" t="n">
        <f aca="false">I6+I7</f>
        <v>136501.19</v>
      </c>
      <c r="J8" s="36" t="n">
        <f aca="false">J6+J7</f>
        <v>78000.68</v>
      </c>
      <c r="K8" s="36" t="n">
        <f aca="false">K6+K7</f>
        <v>58500.51</v>
      </c>
      <c r="L8" s="36" t="n">
        <f aca="false">L6+L7</f>
        <v>78000.68</v>
      </c>
      <c r="M8" s="36" t="n">
        <f aca="false">M6+M7</f>
        <v>165751.445</v>
      </c>
      <c r="N8" s="24" t="n">
        <f aca="false">SUM(B8:M8)</f>
        <v>1316261.475</v>
      </c>
    </row>
    <row r="9" customFormat="false" ht="16.5" hidden="false" customHeight="true" outlineLevel="0" collapsed="false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customFormat="false" ht="16.5" hidden="false" customHeight="true" outlineLevel="0" collapsed="false">
      <c r="A10" s="13" t="s">
        <v>104</v>
      </c>
      <c r="B10" s="25" t="n">
        <f aca="false">'①前提条件'!B39</f>
        <v>69700</v>
      </c>
      <c r="C10" s="25" t="n">
        <f aca="false">'①前提条件'!B39</f>
        <v>69700</v>
      </c>
      <c r="D10" s="25" t="n">
        <f aca="false">'①前提条件'!B39</f>
        <v>69700</v>
      </c>
      <c r="E10" s="25" t="n">
        <f aca="false">'①前提条件'!B39</f>
        <v>69700</v>
      </c>
      <c r="F10" s="25" t="n">
        <f aca="false">'①前提条件'!B39</f>
        <v>69700</v>
      </c>
      <c r="G10" s="25" t="n">
        <f aca="false">'①前提条件'!B39</f>
        <v>69700</v>
      </c>
      <c r="H10" s="25" t="n">
        <f aca="false">'①前提条件'!B39</f>
        <v>69700</v>
      </c>
      <c r="I10" s="25" t="n">
        <f aca="false">'①前提条件'!B39</f>
        <v>69700</v>
      </c>
      <c r="J10" s="25" t="n">
        <f aca="false">'①前提条件'!B39</f>
        <v>69700</v>
      </c>
      <c r="K10" s="25" t="n">
        <f aca="false">'①前提条件'!B39</f>
        <v>69700</v>
      </c>
      <c r="L10" s="25" t="n">
        <f aca="false">'①前提条件'!B39</f>
        <v>69700</v>
      </c>
      <c r="M10" s="25" t="n">
        <f aca="false">'①前提条件'!B39</f>
        <v>69700</v>
      </c>
      <c r="N10" s="24" t="n">
        <f aca="false">SUM(B10:M10)</f>
        <v>836400</v>
      </c>
    </row>
    <row r="11" customFormat="false" ht="16.5" hidden="false" customHeight="true" outlineLevel="0" collapsed="false">
      <c r="A11" s="20" t="s">
        <v>105</v>
      </c>
      <c r="B11" s="38" t="n">
        <f aca="false">B8+B10</f>
        <v>254951.615</v>
      </c>
      <c r="C11" s="38" t="n">
        <f aca="false">C8+C10</f>
        <v>264701.7</v>
      </c>
      <c r="D11" s="38" t="n">
        <f aca="false">D8+D10</f>
        <v>176950.935</v>
      </c>
      <c r="E11" s="38" t="n">
        <f aca="false">E8+E10</f>
        <v>147700.68</v>
      </c>
      <c r="F11" s="38" t="n">
        <f aca="false">F8+F10</f>
        <v>128200.51</v>
      </c>
      <c r="G11" s="38" t="n">
        <f aca="false">G8+G10</f>
        <v>128200.51</v>
      </c>
      <c r="H11" s="38" t="n">
        <f aca="false">H8+H10</f>
        <v>186701.02</v>
      </c>
      <c r="I11" s="38" t="n">
        <f aca="false">I8+I10</f>
        <v>206201.19</v>
      </c>
      <c r="J11" s="38" t="n">
        <f aca="false">J8+J10</f>
        <v>147700.68</v>
      </c>
      <c r="K11" s="38" t="n">
        <f aca="false">K8+K10</f>
        <v>128200.51</v>
      </c>
      <c r="L11" s="38" t="n">
        <f aca="false">L8+L10</f>
        <v>147700.68</v>
      </c>
      <c r="M11" s="38" t="n">
        <f aca="false">M8+M10</f>
        <v>235451.445</v>
      </c>
      <c r="N11" s="38" t="n">
        <f aca="false">SUM(B11:M11)</f>
        <v>2152661.475</v>
      </c>
    </row>
    <row r="12" customFormat="false" ht="16.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customFormat="false" ht="16.5" hidden="false" customHeight="true" outlineLevel="0" collapsed="false">
      <c r="A13" s="39" t="s">
        <v>106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6.5" hidden="false" customHeight="true" outlineLevel="0" collapsed="false">
      <c r="A14" s="6" t="s">
        <v>107</v>
      </c>
      <c r="B14" s="35" t="n">
        <f aca="false">B5*(1-'①前提条件'!B8)*'①前提条件'!B6*'①前提条件'!B7</f>
        <v>89228750000</v>
      </c>
      <c r="C14" s="35" t="n">
        <f aca="false">C5*(1-'①前提条件'!B8)*'①前提条件'!B6*'①前提条件'!B7</f>
        <v>93925000000</v>
      </c>
      <c r="D14" s="35" t="n">
        <f aca="false">D5*(1-'①前提条件'!B8)*'①前提条件'!B6*'①前提条件'!B7</f>
        <v>51658750000</v>
      </c>
      <c r="E14" s="35" t="n">
        <f aca="false">E5*(1-'①前提条件'!B8)*'①前提条件'!B6*'①前提条件'!B7</f>
        <v>37570000000</v>
      </c>
      <c r="F14" s="35" t="n">
        <f aca="false">F5*(1-'①前提条件'!B8)*'①前提条件'!B6*'①前提条件'!B7</f>
        <v>28177500000</v>
      </c>
      <c r="G14" s="35" t="n">
        <f aca="false">G5*(1-'①前提条件'!B8)*'①前提条件'!B6*'①前提条件'!B7</f>
        <v>28177500000</v>
      </c>
      <c r="H14" s="35" t="n">
        <f aca="false">H5*(1-'①前提条件'!B8)*'①前提条件'!B6*'①前提条件'!B7</f>
        <v>56355000000</v>
      </c>
      <c r="I14" s="35" t="n">
        <f aca="false">I5*(1-'①前提条件'!B8)*'①前提条件'!B6*'①前提条件'!B7</f>
        <v>65747500000</v>
      </c>
      <c r="J14" s="35" t="n">
        <f aca="false">J5*(1-'①前提条件'!B8)*'①前提条件'!B6*'①前提条件'!B7</f>
        <v>37570000000</v>
      </c>
      <c r="K14" s="35" t="n">
        <f aca="false">K5*(1-'①前提条件'!B8)*'①前提条件'!B6*'①前提条件'!B7</f>
        <v>28177500000</v>
      </c>
      <c r="L14" s="35" t="n">
        <f aca="false">L5*(1-'①前提条件'!B8)*'①前提条件'!B6*'①前提条件'!B7</f>
        <v>37570000000</v>
      </c>
      <c r="M14" s="35" t="n">
        <f aca="false">M5*(1-'①前提条件'!B8)*'①前提条件'!B6*'①前提条件'!B7</f>
        <v>79836250000</v>
      </c>
      <c r="N14" s="24" t="n">
        <f aca="false">SUM(B14:M14)</f>
        <v>633993750000</v>
      </c>
    </row>
    <row r="15" customFormat="false" ht="16.5" hidden="false" customHeight="true" outlineLevel="0" collapsed="false">
      <c r="A15" s="13" t="s">
        <v>108</v>
      </c>
      <c r="B15" s="35" t="n">
        <f aca="false">B5*'①前提条件'!B41</f>
        <v>9500</v>
      </c>
      <c r="C15" s="35" t="n">
        <f aca="false">C5*'①前提条件'!B41</f>
        <v>10000</v>
      </c>
      <c r="D15" s="35" t="n">
        <f aca="false">D5*'①前提条件'!B41</f>
        <v>5500</v>
      </c>
      <c r="E15" s="35" t="n">
        <f aca="false">E5*'①前提条件'!B41</f>
        <v>4000</v>
      </c>
      <c r="F15" s="35" t="n">
        <f aca="false">F5*'①前提条件'!B41</f>
        <v>3000</v>
      </c>
      <c r="G15" s="35" t="n">
        <f aca="false">G5*'①前提条件'!B41</f>
        <v>3000</v>
      </c>
      <c r="H15" s="35" t="n">
        <f aca="false">H5*'①前提条件'!B41</f>
        <v>6000</v>
      </c>
      <c r="I15" s="35" t="n">
        <f aca="false">I5*'①前提条件'!B41</f>
        <v>7000</v>
      </c>
      <c r="J15" s="35" t="n">
        <f aca="false">J5*'①前提条件'!B41</f>
        <v>4000</v>
      </c>
      <c r="K15" s="35" t="n">
        <f aca="false">K5*'①前提条件'!B41</f>
        <v>3000</v>
      </c>
      <c r="L15" s="35" t="n">
        <f aca="false">L5*'①前提条件'!B41</f>
        <v>4000</v>
      </c>
      <c r="M15" s="35" t="n">
        <f aca="false">M5*'①前提条件'!B41</f>
        <v>8500</v>
      </c>
      <c r="N15" s="24" t="n">
        <f aca="false">SUM(B15:M15)</f>
        <v>67500</v>
      </c>
    </row>
    <row r="16" customFormat="false" ht="16.5" hidden="false" customHeight="true" outlineLevel="0" collapsed="false">
      <c r="A16" s="13" t="s">
        <v>109</v>
      </c>
      <c r="B16" s="24" t="n">
        <f aca="false">B14+B15</f>
        <v>89228759500</v>
      </c>
      <c r="C16" s="24" t="n">
        <f aca="false">C14+C15</f>
        <v>93925010000</v>
      </c>
      <c r="D16" s="24" t="n">
        <f aca="false">D14+D15</f>
        <v>51658755500</v>
      </c>
      <c r="E16" s="24" t="n">
        <f aca="false">E14+E15</f>
        <v>37570004000</v>
      </c>
      <c r="F16" s="24" t="n">
        <f aca="false">F14+F15</f>
        <v>28177503000</v>
      </c>
      <c r="G16" s="24" t="n">
        <f aca="false">G14+G15</f>
        <v>28177503000</v>
      </c>
      <c r="H16" s="24" t="n">
        <f aca="false">H14+H15</f>
        <v>56355006000</v>
      </c>
      <c r="I16" s="24" t="n">
        <f aca="false">I14+I15</f>
        <v>65747507000</v>
      </c>
      <c r="J16" s="24" t="n">
        <f aca="false">J14+J15</f>
        <v>37570004000</v>
      </c>
      <c r="K16" s="24" t="n">
        <f aca="false">K14+K15</f>
        <v>28177503000</v>
      </c>
      <c r="L16" s="24" t="n">
        <f aca="false">L14+L15</f>
        <v>37570004000</v>
      </c>
      <c r="M16" s="24" t="n">
        <f aca="false">M14+M15</f>
        <v>79836258500</v>
      </c>
      <c r="N16" s="24" t="n">
        <f aca="false">SUM(B16:M16)</f>
        <v>633993817500</v>
      </c>
    </row>
    <row r="17" customFormat="false" ht="16.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customFormat="false" ht="16.5" hidden="false" customHeight="true" outlineLevel="0" collapsed="false">
      <c r="A18" s="39" t="s">
        <v>110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6.5" hidden="false" customHeight="true" outlineLevel="0" collapsed="false">
      <c r="A19" s="13" t="s">
        <v>111</v>
      </c>
      <c r="B19" s="25" t="n">
        <f aca="false">'①前提条件'!B26</f>
        <v>50000</v>
      </c>
      <c r="C19" s="25" t="n">
        <f aca="false">'①前提条件'!B26</f>
        <v>50000</v>
      </c>
      <c r="D19" s="25" t="n">
        <f aca="false">'①前提条件'!B26</f>
        <v>50000</v>
      </c>
      <c r="E19" s="25" t="n">
        <f aca="false">'①前提条件'!B26</f>
        <v>50000</v>
      </c>
      <c r="F19" s="25" t="n">
        <f aca="false">'①前提条件'!B26</f>
        <v>50000</v>
      </c>
      <c r="G19" s="25" t="n">
        <f aca="false">'①前提条件'!B26</f>
        <v>50000</v>
      </c>
      <c r="H19" s="25" t="n">
        <f aca="false">'①前提条件'!B26</f>
        <v>50000</v>
      </c>
      <c r="I19" s="25" t="n">
        <f aca="false">'①前提条件'!B26</f>
        <v>50000</v>
      </c>
      <c r="J19" s="25" t="n">
        <f aca="false">'①前提条件'!B26</f>
        <v>50000</v>
      </c>
      <c r="K19" s="25" t="n">
        <f aca="false">'①前提条件'!B26</f>
        <v>50000</v>
      </c>
      <c r="L19" s="25" t="n">
        <f aca="false">'①前提条件'!B26</f>
        <v>50000</v>
      </c>
      <c r="M19" s="25" t="n">
        <f aca="false">'①前提条件'!B26</f>
        <v>50000</v>
      </c>
      <c r="N19" s="24" t="n">
        <f aca="false">SUM(B19:M19)</f>
        <v>600000</v>
      </c>
    </row>
    <row r="20" customFormat="false" ht="16.5" hidden="false" customHeight="true" outlineLevel="0" collapsed="false">
      <c r="A20" s="13" t="s">
        <v>112</v>
      </c>
      <c r="B20" s="40" t="n">
        <f aca="false">'①前提条件'!B27+20000</f>
        <v>60000</v>
      </c>
      <c r="C20" s="40" t="n">
        <f aca="false">'①前提条件'!B27+20000</f>
        <v>60000</v>
      </c>
      <c r="D20" s="25" t="n">
        <f aca="false">'①前提条件'!B27</f>
        <v>40000</v>
      </c>
      <c r="E20" s="25" t="n">
        <f aca="false">'①前提条件'!B27</f>
        <v>40000</v>
      </c>
      <c r="F20" s="25" t="n">
        <f aca="false">'①前提条件'!B27</f>
        <v>40000</v>
      </c>
      <c r="G20" s="25" t="n">
        <f aca="false">'①前提条件'!B27</f>
        <v>40000</v>
      </c>
      <c r="H20" s="25" t="n">
        <f aca="false">'①前提条件'!B27</f>
        <v>40000</v>
      </c>
      <c r="I20" s="25" t="n">
        <f aca="false">'①前提条件'!B27</f>
        <v>40000</v>
      </c>
      <c r="J20" s="25" t="n">
        <f aca="false">'①前提条件'!B27</f>
        <v>40000</v>
      </c>
      <c r="K20" s="25" t="n">
        <f aca="false">'①前提条件'!B27</f>
        <v>40000</v>
      </c>
      <c r="L20" s="25" t="n">
        <f aca="false">'①前提条件'!B27</f>
        <v>40000</v>
      </c>
      <c r="M20" s="40" t="n">
        <f aca="false">'①前提条件'!B27+20000</f>
        <v>60000</v>
      </c>
      <c r="N20" s="24" t="n">
        <f aca="false">SUM(B20:M20)</f>
        <v>540000</v>
      </c>
    </row>
    <row r="21" customFormat="false" ht="16.5" hidden="false" customHeight="true" outlineLevel="0" collapsed="false">
      <c r="A21" s="13" t="s">
        <v>50</v>
      </c>
      <c r="B21" s="25" t="n">
        <f aca="false">'①前提条件'!B28</f>
        <v>15000</v>
      </c>
      <c r="C21" s="25" t="n">
        <f aca="false">'①前提条件'!B28</f>
        <v>15000</v>
      </c>
      <c r="D21" s="25" t="n">
        <f aca="false">'①前提条件'!B28</f>
        <v>15000</v>
      </c>
      <c r="E21" s="25" t="n">
        <f aca="false">'①前提条件'!B28</f>
        <v>15000</v>
      </c>
      <c r="F21" s="25" t="n">
        <f aca="false">'①前提条件'!B28</f>
        <v>15000</v>
      </c>
      <c r="G21" s="25" t="n">
        <f aca="false">'①前提条件'!B28</f>
        <v>15000</v>
      </c>
      <c r="H21" s="25" t="n">
        <f aca="false">'①前提条件'!B28</f>
        <v>15000</v>
      </c>
      <c r="I21" s="25" t="n">
        <f aca="false">'①前提条件'!B28</f>
        <v>15000</v>
      </c>
      <c r="J21" s="25" t="n">
        <f aca="false">'①前提条件'!B28</f>
        <v>15000</v>
      </c>
      <c r="K21" s="25" t="n">
        <f aca="false">'①前提条件'!B28</f>
        <v>15000</v>
      </c>
      <c r="L21" s="25" t="n">
        <f aca="false">'①前提条件'!B28</f>
        <v>15000</v>
      </c>
      <c r="M21" s="25" t="n">
        <f aca="false">'①前提条件'!B28</f>
        <v>15000</v>
      </c>
      <c r="N21" s="24" t="n">
        <f aca="false">SUM(B21:M21)</f>
        <v>180000</v>
      </c>
    </row>
    <row r="22" customFormat="false" ht="16.5" hidden="false" customHeight="true" outlineLevel="0" collapsed="false">
      <c r="A22" s="13" t="s">
        <v>113</v>
      </c>
      <c r="B22" s="25" t="n">
        <f aca="false">'①前提条件'!B29</f>
        <v>7000</v>
      </c>
      <c r="C22" s="25" t="n">
        <f aca="false">'①前提条件'!B29</f>
        <v>7000</v>
      </c>
      <c r="D22" s="25" t="n">
        <f aca="false">'①前提条件'!B29</f>
        <v>7000</v>
      </c>
      <c r="E22" s="25" t="n">
        <f aca="false">'①前提条件'!B29</f>
        <v>7000</v>
      </c>
      <c r="F22" s="25" t="n">
        <f aca="false">'①前提条件'!B29</f>
        <v>7000</v>
      </c>
      <c r="G22" s="25" t="n">
        <f aca="false">'①前提条件'!B29</f>
        <v>7000</v>
      </c>
      <c r="H22" s="25" t="n">
        <f aca="false">'①前提条件'!B29</f>
        <v>7000</v>
      </c>
      <c r="I22" s="25" t="n">
        <f aca="false">'①前提条件'!B29</f>
        <v>7000</v>
      </c>
      <c r="J22" s="25" t="n">
        <f aca="false">'①前提条件'!B29</f>
        <v>7000</v>
      </c>
      <c r="K22" s="25" t="n">
        <f aca="false">'①前提条件'!B29</f>
        <v>7000</v>
      </c>
      <c r="L22" s="25" t="n">
        <f aca="false">'①前提条件'!B29</f>
        <v>7000</v>
      </c>
      <c r="M22" s="25" t="n">
        <f aca="false">'①前提条件'!B29</f>
        <v>7000</v>
      </c>
      <c r="N22" s="24" t="n">
        <f aca="false">SUM(B22:M22)</f>
        <v>84000</v>
      </c>
    </row>
    <row r="23" customFormat="false" ht="16.5" hidden="false" customHeight="true" outlineLevel="0" collapsed="false">
      <c r="A23" s="13" t="s">
        <v>54</v>
      </c>
      <c r="B23" s="25" t="n">
        <f aca="false">'①前提条件'!B30</f>
        <v>8333</v>
      </c>
      <c r="C23" s="25" t="n">
        <f aca="false">'①前提条件'!B30</f>
        <v>8333</v>
      </c>
      <c r="D23" s="25" t="n">
        <f aca="false">'①前提条件'!B30</f>
        <v>8333</v>
      </c>
      <c r="E23" s="25" t="n">
        <f aca="false">'①前提条件'!B30</f>
        <v>8333</v>
      </c>
      <c r="F23" s="25" t="n">
        <f aca="false">'①前提条件'!B30</f>
        <v>8333</v>
      </c>
      <c r="G23" s="25" t="n">
        <f aca="false">'①前提条件'!B30</f>
        <v>8333</v>
      </c>
      <c r="H23" s="25" t="n">
        <f aca="false">'①前提条件'!B30</f>
        <v>8333</v>
      </c>
      <c r="I23" s="25" t="n">
        <f aca="false">'①前提条件'!B30</f>
        <v>8333</v>
      </c>
      <c r="J23" s="25" t="n">
        <f aca="false">'①前提条件'!B30</f>
        <v>8333</v>
      </c>
      <c r="K23" s="25" t="n">
        <f aca="false">'①前提条件'!B30</f>
        <v>8333</v>
      </c>
      <c r="L23" s="25" t="n">
        <f aca="false">'①前提条件'!B30</f>
        <v>8333</v>
      </c>
      <c r="M23" s="25" t="n">
        <f aca="false">'①前提条件'!B30</f>
        <v>8333</v>
      </c>
      <c r="N23" s="24" t="n">
        <f aca="false">SUM(B23:M23)</f>
        <v>99996</v>
      </c>
    </row>
    <row r="24" customFormat="false" ht="16.5" hidden="false" customHeight="true" outlineLevel="0" collapsed="false">
      <c r="A24" s="13" t="s">
        <v>114</v>
      </c>
      <c r="B24" s="25" t="n">
        <f aca="false">'①前提条件'!B31</f>
        <v>20000</v>
      </c>
      <c r="C24" s="25" t="n">
        <f aca="false">'①前提条件'!B31</f>
        <v>20000</v>
      </c>
      <c r="D24" s="25" t="n">
        <f aca="false">'①前提条件'!B31</f>
        <v>20000</v>
      </c>
      <c r="E24" s="25" t="n">
        <f aca="false">'①前提条件'!B31</f>
        <v>20000</v>
      </c>
      <c r="F24" s="25" t="n">
        <f aca="false">'①前提条件'!B31</f>
        <v>20000</v>
      </c>
      <c r="G24" s="25" t="n">
        <f aca="false">'①前提条件'!B31</f>
        <v>20000</v>
      </c>
      <c r="H24" s="25" t="n">
        <f aca="false">'①前提条件'!B31</f>
        <v>20000</v>
      </c>
      <c r="I24" s="25" t="n">
        <f aca="false">'①前提条件'!B31</f>
        <v>20000</v>
      </c>
      <c r="J24" s="25" t="n">
        <f aca="false">'①前提条件'!B31</f>
        <v>20000</v>
      </c>
      <c r="K24" s="25" t="n">
        <f aca="false">'①前提条件'!B31</f>
        <v>20000</v>
      </c>
      <c r="L24" s="25" t="n">
        <f aca="false">'①前提条件'!B31</f>
        <v>20000</v>
      </c>
      <c r="M24" s="25" t="n">
        <f aca="false">'①前提条件'!B31</f>
        <v>20000</v>
      </c>
      <c r="N24" s="24" t="n">
        <f aca="false">SUM(B24:M24)</f>
        <v>240000</v>
      </c>
    </row>
    <row r="25" customFormat="false" ht="16.5" hidden="false" customHeight="true" outlineLevel="0" collapsed="false">
      <c r="A25" s="13" t="s">
        <v>115</v>
      </c>
      <c r="B25" s="24" t="n">
        <f aca="false">B19+B20+B21+B22+B23+B24</f>
        <v>160333</v>
      </c>
      <c r="C25" s="24" t="n">
        <f aca="false">C19+C20+C21+C22+C23+C24</f>
        <v>160333</v>
      </c>
      <c r="D25" s="24" t="n">
        <f aca="false">D19+D20+D21+D22+D23+D24</f>
        <v>140333</v>
      </c>
      <c r="E25" s="24" t="n">
        <f aca="false">E19+E20+E21+E22+E23+E24</f>
        <v>140333</v>
      </c>
      <c r="F25" s="24" t="n">
        <f aca="false">F19+F20+F21+F22+F23+F24</f>
        <v>140333</v>
      </c>
      <c r="G25" s="24" t="n">
        <f aca="false">G19+G20+G21+G22+G23+G24</f>
        <v>140333</v>
      </c>
      <c r="H25" s="24" t="n">
        <f aca="false">H19+H20+H21+H22+H23+H24</f>
        <v>140333</v>
      </c>
      <c r="I25" s="24" t="n">
        <f aca="false">I19+I20+I21+I22+I23+I24</f>
        <v>140333</v>
      </c>
      <c r="J25" s="24" t="n">
        <f aca="false">J19+J20+J21+J22+J23+J24</f>
        <v>140333</v>
      </c>
      <c r="K25" s="24" t="n">
        <f aca="false">K19+K20+K21+K22+K23+K24</f>
        <v>140333</v>
      </c>
      <c r="L25" s="24" t="n">
        <f aca="false">L19+L20+L21+L22+L23+L24</f>
        <v>140333</v>
      </c>
      <c r="M25" s="24" t="n">
        <f aca="false">M19+M20+M21+M22+M23+M24</f>
        <v>160333</v>
      </c>
      <c r="N25" s="24" t="n">
        <f aca="false">SUM(B25:M25)</f>
        <v>1743996</v>
      </c>
    </row>
    <row r="26" customFormat="false" ht="16.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</row>
    <row r="27" customFormat="false" ht="16.5" hidden="false" customHeight="true" outlineLevel="0" collapsed="false">
      <c r="A27" s="13" t="s">
        <v>116</v>
      </c>
      <c r="B27" s="24" t="n">
        <f aca="false">B16+B25</f>
        <v>89228919833</v>
      </c>
      <c r="C27" s="24" t="n">
        <f aca="false">C16+C25</f>
        <v>93925170333</v>
      </c>
      <c r="D27" s="24" t="n">
        <f aca="false">D16+D25</f>
        <v>51658895833</v>
      </c>
      <c r="E27" s="24" t="n">
        <f aca="false">E16+E25</f>
        <v>37570144333</v>
      </c>
      <c r="F27" s="24" t="n">
        <f aca="false">F16+F25</f>
        <v>28177643333</v>
      </c>
      <c r="G27" s="24" t="n">
        <f aca="false">G16+G25</f>
        <v>28177643333</v>
      </c>
      <c r="H27" s="24" t="n">
        <f aca="false">H16+H25</f>
        <v>56355146333</v>
      </c>
      <c r="I27" s="24" t="n">
        <f aca="false">I16+I25</f>
        <v>65747647333</v>
      </c>
      <c r="J27" s="24" t="n">
        <f aca="false">J16+J25</f>
        <v>37570144333</v>
      </c>
      <c r="K27" s="24" t="n">
        <f aca="false">K16+K25</f>
        <v>28177643333</v>
      </c>
      <c r="L27" s="24" t="n">
        <f aca="false">L16+L25</f>
        <v>37570144333</v>
      </c>
      <c r="M27" s="24" t="n">
        <f aca="false">M16+M25</f>
        <v>79836418833</v>
      </c>
      <c r="N27" s="24" t="n">
        <f aca="false">SUM(B27:M27)</f>
        <v>633995561496</v>
      </c>
    </row>
    <row r="28" customFormat="false" ht="16.5" hidden="false" customHeight="true" outlineLevel="0" collapsed="false">
      <c r="A28" s="20" t="s">
        <v>117</v>
      </c>
      <c r="B28" s="38" t="n">
        <f aca="false">B11-B27</f>
        <v>-89228664881.385</v>
      </c>
      <c r="C28" s="38" t="n">
        <f aca="false">C11-C27</f>
        <v>-93924905631.3</v>
      </c>
      <c r="D28" s="38" t="n">
        <f aca="false">D11-D27</f>
        <v>-51658718882.065</v>
      </c>
      <c r="E28" s="38" t="n">
        <f aca="false">E11-E27</f>
        <v>-37569996632.32</v>
      </c>
      <c r="F28" s="38" t="n">
        <f aca="false">F11-F27</f>
        <v>-28177515132.49</v>
      </c>
      <c r="G28" s="38" t="n">
        <f aca="false">G11-G27</f>
        <v>-28177515132.49</v>
      </c>
      <c r="H28" s="38" t="n">
        <f aca="false">H11-H27</f>
        <v>-56354959631.98</v>
      </c>
      <c r="I28" s="38" t="n">
        <f aca="false">I11-I27</f>
        <v>-65747441131.81</v>
      </c>
      <c r="J28" s="38" t="n">
        <f aca="false">J11-J27</f>
        <v>-37569996632.32</v>
      </c>
      <c r="K28" s="38" t="n">
        <f aca="false">K11-K27</f>
        <v>-28177515132.49</v>
      </c>
      <c r="L28" s="38" t="n">
        <f aca="false">L11-L27</f>
        <v>-37569996632.32</v>
      </c>
      <c r="M28" s="38" t="n">
        <f aca="false">M11-M27</f>
        <v>-79836183381.555</v>
      </c>
      <c r="N28" s="38" t="n">
        <f aca="false">SUM(B28:M28)</f>
        <v>-633993408834.525</v>
      </c>
    </row>
    <row r="29" customFormat="false" ht="16.5" hidden="false" customHeight="true" outlineLevel="0" collapsed="false">
      <c r="A29" s="20" t="s">
        <v>118</v>
      </c>
      <c r="B29" s="41" t="n">
        <f aca="false">B28</f>
        <v>-89228664881.385</v>
      </c>
      <c r="C29" s="41" t="n">
        <f aca="false">B29+C28</f>
        <v>-183153570512.685</v>
      </c>
      <c r="D29" s="41" t="n">
        <f aca="false">C29+D28</f>
        <v>-234812289394.75</v>
      </c>
      <c r="E29" s="41" t="n">
        <f aca="false">D29+E28</f>
        <v>-272382286027.07</v>
      </c>
      <c r="F29" s="41" t="n">
        <f aca="false">E29+F28</f>
        <v>-300559801159.56</v>
      </c>
      <c r="G29" s="41" t="n">
        <f aca="false">F29+G28</f>
        <v>-328737316292.05</v>
      </c>
      <c r="H29" s="41" t="n">
        <f aca="false">G29+H28</f>
        <v>-385092275924.03</v>
      </c>
      <c r="I29" s="41" t="n">
        <f aca="false">H29+I28</f>
        <v>-450839717055.84</v>
      </c>
      <c r="J29" s="41" t="n">
        <f aca="false">I29+J28</f>
        <v>-488409713688.16</v>
      </c>
      <c r="K29" s="41" t="n">
        <f aca="false">J29+K28</f>
        <v>-516587228820.65</v>
      </c>
      <c r="L29" s="41" t="n">
        <f aca="false">K29+L28</f>
        <v>-554157225452.97</v>
      </c>
      <c r="M29" s="41" t="n">
        <f aca="false">L29+M28</f>
        <v>-633993408834.525</v>
      </c>
      <c r="N29" s="42" t="n">
        <f aca="false">M29</f>
        <v>-633993408834.525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32"/>
  </cols>
  <sheetData>
    <row r="1" customFormat="false" ht="36" hidden="false" customHeight="true" outlineLevel="0" collapsed="false">
      <c r="A1" s="31" t="s">
        <v>119</v>
      </c>
      <c r="B1" s="31"/>
      <c r="C1" s="31"/>
      <c r="D1" s="31"/>
      <c r="E1" s="31"/>
    </row>
    <row r="2" customFormat="false" ht="19.5" hidden="false" customHeight="true" outlineLevel="0" collapsed="false">
      <c r="A2" s="32" t="s">
        <v>120</v>
      </c>
      <c r="B2" s="43" t="s">
        <v>121</v>
      </c>
      <c r="C2" s="3" t="s">
        <v>122</v>
      </c>
      <c r="D2" s="44" t="s">
        <v>123</v>
      </c>
      <c r="E2" s="32" t="s">
        <v>124</v>
      </c>
    </row>
    <row r="3" customFormat="false" ht="16.5" hidden="false" customHeight="true" outlineLevel="0" collapsed="false">
      <c r="A3" s="6" t="s">
        <v>125</v>
      </c>
      <c r="B3" s="40" t="n">
        <f aca="false">'①前提条件'!B5</f>
        <v>50000</v>
      </c>
      <c r="C3" s="40" t="n">
        <f aca="false">'①前提条件'!B6</f>
        <v>65000</v>
      </c>
      <c r="D3" s="40" t="n">
        <f aca="false">'①前提条件'!B7</f>
        <v>85000</v>
      </c>
      <c r="E3" s="9" t="s">
        <v>126</v>
      </c>
    </row>
    <row r="4" customFormat="false" ht="16.5" hidden="false" customHeight="true" outlineLevel="0" collapsed="false">
      <c r="A4" s="6" t="s">
        <v>127</v>
      </c>
      <c r="B4" s="40" t="n">
        <f aca="false">'①前提条件'!B5*(1-'①前提条件'!B7)</f>
        <v>-4249950000</v>
      </c>
      <c r="C4" s="40" t="n">
        <f aca="false">'①前提条件'!B9</f>
        <v>0.1</v>
      </c>
      <c r="D4" s="40" t="n">
        <f aca="false">'①前提条件'!B7*(1-'①前提条件'!B7)</f>
        <v>-7224915000</v>
      </c>
      <c r="E4" s="10" t="s">
        <v>128</v>
      </c>
    </row>
    <row r="5" customFormat="false" ht="16.5" hidden="false" customHeight="true" outlineLevel="0" collapsed="false">
      <c r="A5" s="13" t="s">
        <v>129</v>
      </c>
      <c r="B5" s="40" t="n">
        <f aca="false">'①前提条件'!B32</f>
        <v>140333</v>
      </c>
      <c r="C5" s="40" t="n">
        <f aca="false">'①前提条件'!B32</f>
        <v>140333</v>
      </c>
      <c r="D5" s="40" t="n">
        <f aca="false">'①前提条件'!B32</f>
        <v>140333</v>
      </c>
      <c r="E5" s="9" t="s">
        <v>126</v>
      </c>
    </row>
    <row r="6" customFormat="false" ht="16.5" hidden="false" customHeight="true" outlineLevel="0" collapsed="false">
      <c r="A6" s="26" t="s">
        <v>130</v>
      </c>
      <c r="B6" s="27" t="n">
        <f aca="false">CEILING(B5/B4,1)</f>
        <v>-0</v>
      </c>
      <c r="C6" s="27" t="n">
        <f aca="false">CEILING(C5/C4,1)</f>
        <v>1403330</v>
      </c>
      <c r="D6" s="27" t="n">
        <f aca="false">CEILING(D5/D4,1)</f>
        <v>-0</v>
      </c>
      <c r="E6" s="9" t="s">
        <v>131</v>
      </c>
    </row>
    <row r="7" customFormat="false" ht="16.5" hidden="false" customHeight="true" outlineLevel="0" collapsed="false">
      <c r="A7" s="26" t="s">
        <v>132</v>
      </c>
      <c r="B7" s="45" t="n">
        <f aca="false">B6/31</f>
        <v>-0</v>
      </c>
      <c r="C7" s="45" t="n">
        <f aca="false">C6/31</f>
        <v>45268.7096774194</v>
      </c>
      <c r="D7" s="45" t="n">
        <f aca="false">D6/31</f>
        <v>-0</v>
      </c>
      <c r="E7" s="9" t="s">
        <v>133</v>
      </c>
    </row>
    <row r="9" customFormat="false" ht="18" hidden="false" customHeight="true" outlineLevel="0" collapsed="false">
      <c r="A9" s="46" t="s">
        <v>134</v>
      </c>
      <c r="B9" s="5"/>
      <c r="C9" s="5"/>
      <c r="D9" s="5"/>
      <c r="E9" s="5"/>
    </row>
    <row r="10" customFormat="false" ht="18" hidden="false" customHeight="true" outlineLevel="0" collapsed="false">
      <c r="A10" s="3" t="s">
        <v>99</v>
      </c>
      <c r="B10" s="3" t="s">
        <v>135</v>
      </c>
      <c r="C10" s="3" t="s">
        <v>136</v>
      </c>
      <c r="D10" s="3" t="s">
        <v>137</v>
      </c>
      <c r="E10" s="3" t="s">
        <v>124</v>
      </c>
    </row>
    <row r="11" customFormat="false" ht="16.5" hidden="false" customHeight="true" outlineLevel="0" collapsed="false">
      <c r="A11" s="19" t="n">
        <v>0.2</v>
      </c>
      <c r="B11" s="47" t="n">
        <f aca="false">A11*365*'①前提条件'!B5*(1-'①前提条件'!B7)</f>
        <v>-310246350000</v>
      </c>
      <c r="C11" s="47" t="n">
        <f aca="false">A11*365*'①前提条件'!B6*(1-'①前提条件'!B7)+('①前提条件'!B39*12)</f>
        <v>-403319418600</v>
      </c>
      <c r="D11" s="47" t="n">
        <f aca="false">A11*365*'①前提条件'!B7*(1-'①前提条件'!B7)</f>
        <v>-527418795000</v>
      </c>
      <c r="E11" s="9" t="s">
        <v>138</v>
      </c>
    </row>
    <row r="12" customFormat="false" ht="16.5" hidden="false" customHeight="true" outlineLevel="0" collapsed="false">
      <c r="A12" s="18" t="n">
        <v>0.3</v>
      </c>
      <c r="B12" s="35" t="n">
        <f aca="false">A12*365*'①前提条件'!B5*(1-'①前提条件'!B7)</f>
        <v>-465369525000</v>
      </c>
      <c r="C12" s="35" t="n">
        <f aca="false">A12*365*'①前提条件'!B6*(1-'①前提条件'!B7)+('①前提条件'!B39*12)</f>
        <v>-604979546100</v>
      </c>
      <c r="D12" s="35" t="n">
        <f aca="false">A12*365*'①前提条件'!B7*(1-'①前提条件'!B7)</f>
        <v>-791128192500</v>
      </c>
      <c r="E12" s="10" t="s">
        <v>139</v>
      </c>
    </row>
    <row r="13" customFormat="false" ht="16.5" hidden="false" customHeight="true" outlineLevel="0" collapsed="false">
      <c r="A13" s="18" t="n">
        <v>0.4</v>
      </c>
      <c r="B13" s="35" t="n">
        <f aca="false">A13*365*'①前提条件'!B5*(1-'①前提条件'!B7)</f>
        <v>-620492700000</v>
      </c>
      <c r="C13" s="35" t="n">
        <f aca="false">A13*365*'①前提条件'!B6*(1-'①前提条件'!B7)+('①前提条件'!B39*12)</f>
        <v>-806639673600</v>
      </c>
      <c r="D13" s="35" t="n">
        <f aca="false">A13*365*'①前提条件'!B7*(1-'①前提条件'!B7)</f>
        <v>-1054837590000</v>
      </c>
      <c r="E13" s="10" t="s">
        <v>140</v>
      </c>
    </row>
    <row r="14" customFormat="false" ht="16.5" hidden="false" customHeight="true" outlineLevel="0" collapsed="false">
      <c r="A14" s="48" t="n">
        <v>0.55</v>
      </c>
      <c r="B14" s="49" t="n">
        <f aca="false">A14*365*'①前提条件'!B5*(1-'①前提条件'!B7)</f>
        <v>-853177462500</v>
      </c>
      <c r="C14" s="49" t="n">
        <f aca="false">A14*365*'①前提条件'!B6*(1-'①前提条件'!B7)+('①前提条件'!B39*12)</f>
        <v>-1109129864850</v>
      </c>
      <c r="D14" s="49" t="n">
        <f aca="false">A14*365*'①前提条件'!B7*(1-'①前提条件'!B7)</f>
        <v>-1450401686250</v>
      </c>
      <c r="E14" s="9" t="s">
        <v>122</v>
      </c>
    </row>
    <row r="15" customFormat="false" ht="16.5" hidden="false" customHeight="true" outlineLevel="0" collapsed="false">
      <c r="A15" s="48" t="n">
        <v>0.65</v>
      </c>
      <c r="B15" s="49" t="n">
        <f aca="false">A15*365*'①前提条件'!B5*(1-'①前提条件'!B7)</f>
        <v>-1008300637500</v>
      </c>
      <c r="C15" s="49" t="n">
        <f aca="false">A15*365*'①前提条件'!B6*(1-'①前提条件'!B7)+('①前提条件'!B39*12)</f>
        <v>-1310789992350</v>
      </c>
      <c r="D15" s="49" t="n">
        <f aca="false">A15*365*'①前提条件'!B7*(1-'①前提条件'!B7)</f>
        <v>-1714111083750</v>
      </c>
      <c r="E15" s="9" t="s">
        <v>141</v>
      </c>
    </row>
    <row r="16" customFormat="false" ht="16.5" hidden="false" customHeight="true" outlineLevel="0" collapsed="false">
      <c r="A16" s="48" t="n">
        <v>0.7</v>
      </c>
      <c r="B16" s="49" t="n">
        <f aca="false">A16*365*'①前提条件'!B5*(1-'①前提条件'!B7)</f>
        <v>-1085862225000</v>
      </c>
      <c r="C16" s="49" t="n">
        <f aca="false">A16*365*'①前提条件'!B6*(1-'①前提条件'!B7)+('①前提条件'!B39*12)</f>
        <v>-1411620056100</v>
      </c>
      <c r="D16" s="49" t="n">
        <f aca="false">A16*365*'①前提条件'!B7*(1-'①前提条件'!B7)</f>
        <v>-1845965782500</v>
      </c>
      <c r="E16" s="9" t="s">
        <v>123</v>
      </c>
    </row>
    <row r="18" customFormat="false" ht="18" hidden="false" customHeight="true" outlineLevel="0" collapsed="false">
      <c r="A18" s="4" t="s">
        <v>142</v>
      </c>
      <c r="B18" s="5"/>
      <c r="C18" s="5"/>
      <c r="D18" s="5"/>
      <c r="E18" s="5"/>
    </row>
    <row r="19" customFormat="false" ht="18" hidden="false" customHeight="true" outlineLevel="0" collapsed="false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124</v>
      </c>
    </row>
    <row r="20" customFormat="false" ht="16.5" hidden="false" customHeight="true" outlineLevel="0" collapsed="false">
      <c r="A20" s="13" t="s">
        <v>147</v>
      </c>
      <c r="B20" s="7" t="n">
        <v>500000</v>
      </c>
      <c r="C20" s="7" t="n">
        <v>360000</v>
      </c>
      <c r="D20" s="50" t="n">
        <f aca="false">B20/C20</f>
        <v>1.38888888888889</v>
      </c>
      <c r="E20" s="9" t="s">
        <v>148</v>
      </c>
    </row>
    <row r="21" customFormat="false" ht="16.5" hidden="false" customHeight="true" outlineLevel="0" collapsed="false">
      <c r="A21" s="13" t="s">
        <v>149</v>
      </c>
      <c r="B21" s="7" t="n">
        <v>800000</v>
      </c>
      <c r="C21" s="7" t="n">
        <v>1200000</v>
      </c>
      <c r="D21" s="50" t="n">
        <f aca="false">B21/C21</f>
        <v>0.666666666666667</v>
      </c>
      <c r="E21" s="9" t="s">
        <v>150</v>
      </c>
    </row>
    <row r="22" customFormat="false" ht="16.5" hidden="false" customHeight="true" outlineLevel="0" collapsed="false">
      <c r="A22" s="13" t="s">
        <v>151</v>
      </c>
      <c r="B22" s="7" t="n">
        <v>80000</v>
      </c>
      <c r="C22" s="7" t="n">
        <v>600000</v>
      </c>
      <c r="D22" s="50" t="n">
        <f aca="false">B22/C22</f>
        <v>0.133333333333333</v>
      </c>
      <c r="E22" s="9" t="s">
        <v>152</v>
      </c>
    </row>
    <row r="23" customFormat="false" ht="16.5" hidden="false" customHeight="true" outlineLevel="0" collapsed="false">
      <c r="A23" s="6" t="s">
        <v>153</v>
      </c>
      <c r="B23" s="7" t="n">
        <v>0</v>
      </c>
      <c r="C23" s="7" t="n">
        <v>200000</v>
      </c>
      <c r="D23" s="50" t="n">
        <f aca="false">B23/C23</f>
        <v>0</v>
      </c>
      <c r="E23" s="9" t="s">
        <v>154</v>
      </c>
    </row>
    <row r="25" customFormat="false" ht="18" hidden="false" customHeight="true" outlineLevel="0" collapsed="false">
      <c r="A25" s="4" t="s">
        <v>155</v>
      </c>
      <c r="B25" s="5"/>
      <c r="C25" s="5"/>
      <c r="D25" s="5"/>
      <c r="E25" s="5"/>
    </row>
    <row r="26" customFormat="false" ht="18" hidden="false" customHeight="true" outlineLevel="0" collapsed="false">
      <c r="A26" s="3" t="s">
        <v>2</v>
      </c>
      <c r="B26" s="3" t="s">
        <v>3</v>
      </c>
      <c r="C26" s="3" t="s">
        <v>156</v>
      </c>
      <c r="D26" s="3"/>
      <c r="E26" s="3" t="s">
        <v>124</v>
      </c>
    </row>
    <row r="27" customFormat="false" ht="16.5" hidden="false" customHeight="true" outlineLevel="0" collapsed="false">
      <c r="A27" s="13" t="s">
        <v>157</v>
      </c>
      <c r="B27" s="7" t="n">
        <v>65000</v>
      </c>
      <c r="C27" s="6"/>
      <c r="D27" s="6"/>
      <c r="E27" s="9" t="s">
        <v>122</v>
      </c>
    </row>
    <row r="28" customFormat="false" ht="16.5" hidden="false" customHeight="true" outlineLevel="0" collapsed="false">
      <c r="A28" s="13" t="s">
        <v>158</v>
      </c>
      <c r="B28" s="51" t="n">
        <v>1.5</v>
      </c>
      <c r="C28" s="6"/>
      <c r="D28" s="6"/>
      <c r="E28" s="10" t="s">
        <v>159</v>
      </c>
    </row>
    <row r="29" customFormat="false" ht="16.5" hidden="false" customHeight="true" outlineLevel="0" collapsed="false">
      <c r="A29" s="13" t="s">
        <v>160</v>
      </c>
      <c r="B29" s="51" t="n">
        <v>5</v>
      </c>
      <c r="C29" s="6"/>
      <c r="D29" s="6"/>
      <c r="E29" s="9" t="s">
        <v>161</v>
      </c>
    </row>
    <row r="30" customFormat="false" ht="16.5" hidden="false" customHeight="true" outlineLevel="0" collapsed="false">
      <c r="A30" s="52" t="s">
        <v>162</v>
      </c>
      <c r="B30" s="6"/>
      <c r="C30" s="27" t="n">
        <f aca="false">B27*B28*B29</f>
        <v>487500</v>
      </c>
      <c r="D30" s="6"/>
      <c r="E30" s="9" t="s">
        <v>163</v>
      </c>
    </row>
    <row r="31" customFormat="false" ht="16.5" hidden="false" customHeight="true" outlineLevel="0" collapsed="false">
      <c r="A31" s="6" t="s">
        <v>164</v>
      </c>
      <c r="B31" s="7" t="n">
        <v>3000</v>
      </c>
      <c r="C31" s="35" t="n">
        <f aca="false">B31*36</f>
        <v>108000</v>
      </c>
      <c r="D31" s="6"/>
      <c r="E31" s="9" t="s">
        <v>165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2026-04-05T03:48:52Z</dcterms:created>
  <dc:creator>openpyxl</dc:creator>
  <dc:description/>
  <dc:language>en-US</dc:language>
  <cp:lastModifiedBy/>
  <dcterms:modified xsi:type="dcterms:W3CDTF">2026-04-05T03:48:52Z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