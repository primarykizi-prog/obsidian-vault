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予約管理" sheetId="1" state="visible" r:id="rId3"/>
    <sheet name="📆 空室カレンダー" sheetId="2" state="visible" r:id="rId4"/>
    <sheet name="💰 月次収支" sheetId="3" state="visible" r:id="rId5"/>
    <sheet name="👴 チェックイン（現地用）" sheetId="4" state="visible" r:id="rId6"/>
    <sheet name="🏛️ 補助金管理" sheetId="5" state="visible" r:id="rId7"/>
    <sheet name="✅ TODOダッシュボード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<sst xmlns="http://schemas.openxmlformats.org/spreadsheetml/2006/main" count="391" uniqueCount="157">
  <si>
    <r>
      <rPr>
        <b val="true"/>
        <sz val="16"/>
        <color rgb="FF1F3864"/>
        <rFont val="Yu Gothic UI"/>
        <family val="0"/>
        <charset val="1"/>
      </rPr>
      <t xml:space="preserve">🏠 MIGAKI BASE  </t>
    </r>
    <r>
      <rPr>
        <b val="true"/>
        <sz val="16"/>
        <color rgb="FF1F3864"/>
        <rFont val="DejaVu Sans"/>
        <family val="2"/>
      </rPr>
      <t xml:space="preserve">予約管理シート</t>
    </r>
  </si>
  <si>
    <t xml:space="preserve">※ 黄色セルに入力してください　　更新日：（手動更新）</t>
  </si>
  <si>
    <t xml:space="preserve">No.</t>
  </si>
  <si>
    <t xml:space="preserve">予約日</t>
  </si>
  <si>
    <t xml:space="preserve">チェックイン</t>
  </si>
  <si>
    <t xml:space="preserve">チェックアウト</t>
  </si>
  <si>
    <t xml:space="preserve">宿泊数</t>
  </si>
  <si>
    <t xml:space="preserve">ゲスト名</t>
  </si>
  <si>
    <t xml:space="preserve">人数</t>
  </si>
  <si>
    <t xml:space="preserve">客室</t>
  </si>
  <si>
    <t xml:space="preserve">プラットフォーム</t>
  </si>
  <si>
    <r>
      <rPr>
        <b val="true"/>
        <sz val="11"/>
        <color rgb="FFFFFFFF"/>
        <rFont val="DejaVu Sans"/>
        <family val="2"/>
      </rPr>
      <t xml:space="preserve">金額</t>
    </r>
    <r>
      <rPr>
        <b val="true"/>
        <sz val="11"/>
        <color rgb="FFFFFFFF"/>
        <rFont val="Yu Gothic UI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税込</t>
    </r>
    <r>
      <rPr>
        <b val="true"/>
        <sz val="11"/>
        <color rgb="FFFFFFFF"/>
        <rFont val="Yu Gothic UI"/>
        <family val="0"/>
        <charset val="1"/>
      </rPr>
      <t xml:space="preserve">)</t>
    </r>
  </si>
  <si>
    <t xml:space="preserve">決済状況</t>
  </si>
  <si>
    <t xml:space="preserve">チェックイン確認</t>
  </si>
  <si>
    <t xml:space="preserve">清掃完了</t>
  </si>
  <si>
    <t xml:space="preserve">メモ・特記事項</t>
  </si>
  <si>
    <t xml:space="preserve">未決済</t>
  </si>
  <si>
    <t xml:space="preserve">□</t>
  </si>
  <si>
    <r>
      <rPr>
        <b val="true"/>
        <sz val="14"/>
        <color rgb="FF1F3864"/>
        <rFont val="Yu Gothic UI"/>
        <family val="0"/>
        <charset val="1"/>
      </rPr>
      <t xml:space="preserve">📆 MIGAKI BASE  </t>
    </r>
    <r>
      <rPr>
        <b val="true"/>
        <sz val="14"/>
        <color rgb="FF1F3864"/>
        <rFont val="DejaVu Sans"/>
        <family val="2"/>
      </rPr>
      <t xml:space="preserve">空室カレンダー（月別）</t>
    </r>
  </si>
  <si>
    <r>
      <rPr>
        <sz val="9"/>
        <color rgb="FF444444"/>
        <rFont val="DejaVu Sans"/>
        <family val="2"/>
      </rPr>
      <t xml:space="preserve">凡例：　✅ </t>
    </r>
    <r>
      <rPr>
        <sz val="9"/>
        <color rgb="FF444444"/>
        <rFont val="Yu Gothic UI"/>
        <family val="0"/>
        <charset val="1"/>
      </rPr>
      <t xml:space="preserve">= </t>
    </r>
    <r>
      <rPr>
        <sz val="9"/>
        <color rgb="FF444444"/>
        <rFont val="DejaVu Sans"/>
        <family val="2"/>
      </rPr>
      <t xml:space="preserve">予約済み　　□ </t>
    </r>
    <r>
      <rPr>
        <sz val="9"/>
        <color rgb="FF444444"/>
        <rFont val="Yu Gothic UI"/>
        <family val="0"/>
        <charset val="1"/>
      </rPr>
      <t xml:space="preserve">= </t>
    </r>
    <r>
      <rPr>
        <sz val="9"/>
        <color rgb="FF444444"/>
        <rFont val="DejaVu Sans"/>
        <family val="2"/>
      </rPr>
      <t xml:space="preserve">空室　　</t>
    </r>
    <r>
      <rPr>
        <sz val="9"/>
        <color rgb="FF444444"/>
        <rFont val="Yu Gothic UI"/>
        <family val="0"/>
        <charset val="1"/>
      </rPr>
      <t xml:space="preserve">× = </t>
    </r>
    <r>
      <rPr>
        <sz val="9"/>
        <color rgb="FF444444"/>
        <rFont val="DejaVu Sans"/>
        <family val="2"/>
      </rPr>
      <t xml:space="preserve">休業・メンテ</t>
    </r>
  </si>
  <si>
    <r>
      <rPr>
        <b val="true"/>
        <sz val="11"/>
        <color rgb="FFFFFFFF"/>
        <rFont val="Yu Gothic UI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</si>
  <si>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</si>
  <si>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</si>
  <si>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7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</si>
  <si>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8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</si>
  <si>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9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</si>
  <si>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10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</si>
  <si>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11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</si>
  <si>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12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</si>
  <si>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</si>
  <si>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</si>
  <si>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Yu Gothic UI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月</t>
    </r>
  </si>
  <si>
    <t xml:space="preserve">客室①</t>
  </si>
  <si>
    <t xml:space="preserve">客室②</t>
  </si>
  <si>
    <t xml:space="preserve">客室③</t>
  </si>
  <si>
    <t xml:space="preserve">客室④</t>
  </si>
  <si>
    <t xml:space="preserve">稼働率目標</t>
  </si>
  <si>
    <t xml:space="preserve">60%</t>
  </si>
  <si>
    <t xml:space="preserve">80%</t>
  </si>
  <si>
    <r>
      <rPr>
        <b val="true"/>
        <sz val="14"/>
        <color rgb="FF1F3864"/>
        <rFont val="Yu Gothic UI"/>
        <family val="0"/>
        <charset val="1"/>
      </rPr>
      <t xml:space="preserve">💰 MIGAKI BASE  </t>
    </r>
    <r>
      <rPr>
        <b val="true"/>
        <sz val="14"/>
        <color rgb="FF1F3864"/>
        <rFont val="DejaVu Sans"/>
        <family val="2"/>
      </rPr>
      <t xml:space="preserve">月次収支管理（</t>
    </r>
    <r>
      <rPr>
        <b val="true"/>
        <sz val="14"/>
        <color rgb="FF1F3864"/>
        <rFont val="Yu Gothic UI"/>
        <family val="0"/>
        <charset val="1"/>
      </rPr>
      <t xml:space="preserve">2026</t>
    </r>
    <r>
      <rPr>
        <b val="true"/>
        <sz val="14"/>
        <color rgb="FF1F3864"/>
        <rFont val="DejaVu Sans"/>
        <family val="2"/>
      </rPr>
      <t xml:space="preserve">年度）</t>
    </r>
  </si>
  <si>
    <t xml:space="preserve">※ 青色セルは自動計算。黄色セルに実績を入力してください。</t>
  </si>
  <si>
    <t xml:space="preserve">項目</t>
  </si>
  <si>
    <t xml:space="preserve">年計</t>
  </si>
  <si>
    <t xml:space="preserve">【収入】</t>
  </si>
  <si>
    <t xml:space="preserve">　宿泊料収入</t>
  </si>
  <si>
    <t xml:space="preserve">　清掃費（ゲスト負担）</t>
  </si>
  <si>
    <t xml:space="preserve">　その他収入</t>
  </si>
  <si>
    <t xml:space="preserve">収入合計</t>
  </si>
  <si>
    <t xml:space="preserve">【支出】</t>
  </si>
  <si>
    <t xml:space="preserve">　清掃費（管理会社）</t>
  </si>
  <si>
    <t xml:space="preserve">　消耗品・アメニティ</t>
  </si>
  <si>
    <t xml:space="preserve">　光熱費（電気・ガス・水道）</t>
  </si>
  <si>
    <r>
      <rPr>
        <sz val="10"/>
        <color rgb="FF000000"/>
        <rFont val="DejaVu Sans"/>
        <family val="2"/>
      </rPr>
      <t xml:space="preserve">　通信費（</t>
    </r>
    <r>
      <rPr>
        <sz val="10"/>
        <color rgb="FF000000"/>
        <rFont val="Yu Gothic UI"/>
        <family val="0"/>
        <charset val="1"/>
      </rPr>
      <t xml:space="preserve">Wi-Fi</t>
    </r>
    <r>
      <rPr>
        <sz val="10"/>
        <color rgb="FF000000"/>
        <rFont val="DejaVu Sans"/>
        <family val="2"/>
      </rPr>
      <t xml:space="preserve">等）</t>
    </r>
  </si>
  <si>
    <t xml:space="preserve">　修繕・メンテナンス</t>
  </si>
  <si>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Yu Gothic UI"/>
        <family val="0"/>
        <charset val="1"/>
      </rPr>
      <t xml:space="preserve">OTA</t>
    </r>
    <r>
      <rPr>
        <sz val="10"/>
        <color rgb="FF000000"/>
        <rFont val="DejaVu Sans"/>
        <family val="2"/>
      </rPr>
      <t xml:space="preserve">手数料（</t>
    </r>
    <r>
      <rPr>
        <sz val="10"/>
        <color rgb="FF000000"/>
        <rFont val="Yu Gothic UI"/>
        <family val="0"/>
        <charset val="1"/>
      </rPr>
      <t xml:space="preserve">15%</t>
    </r>
    <r>
      <rPr>
        <sz val="10"/>
        <color rgb="FF000000"/>
        <rFont val="DejaVu Sans"/>
        <family val="2"/>
      </rPr>
      <t xml:space="preserve">）</t>
    </r>
  </si>
  <si>
    <t xml:space="preserve">　その他支出</t>
  </si>
  <si>
    <t xml:space="preserve">支出合計</t>
  </si>
  <si>
    <t xml:space="preserve">★ 純利益（収入合計－支出合計）</t>
  </si>
  <si>
    <t xml:space="preserve">👴 チェックイン管理シート　〜 お父さん・お母さん用 〜</t>
  </si>
  <si>
    <t xml:space="preserve">◎ チェックイン当日にこのシートを確認してください。黄色いところに記入してください。</t>
  </si>
  <si>
    <t xml:space="preserve">日付</t>
  </si>
  <si>
    <t xml:space="preserve">チェックイン時刻</t>
  </si>
  <si>
    <t xml:space="preserve">鍵渡し</t>
  </si>
  <si>
    <t xml:space="preserve">館内案内済</t>
  </si>
  <si>
    <t xml:space="preserve">緊急連絡先確認</t>
  </si>
  <si>
    <t xml:space="preserve">チェックアウト日</t>
  </si>
  <si>
    <t xml:space="preserve">メモ</t>
  </si>
  <si>
    <t xml:space="preserve">📋 チェックイン対応チェックリスト（毎回確認）</t>
  </si>
  <si>
    <t xml:space="preserve">□ 客室の掃除・シーツ交換が完了していることを確認した</t>
  </si>
  <si>
    <t xml:space="preserve">□ タオル・アメニティが補充されていることを確認した</t>
  </si>
  <si>
    <t xml:space="preserve">□ エアコン・暖房が動作することを確認した</t>
  </si>
  <si>
    <t xml:space="preserve">□ トイレ・洗面台に問題がないことを確認した</t>
  </si>
  <si>
    <r>
      <rPr>
        <sz val="11"/>
        <color rgb="FF000000"/>
        <rFont val="Yu Gothic UI"/>
        <family val="0"/>
        <charset val="1"/>
      </rPr>
      <t xml:space="preserve">□ Wi-Fi</t>
    </r>
    <r>
      <rPr>
        <sz val="11"/>
        <color rgb="FF000000"/>
        <rFont val="DejaVu Sans"/>
        <family val="2"/>
      </rPr>
      <t xml:space="preserve">パスワードをゲストに伝えた</t>
    </r>
  </si>
  <si>
    <t xml:space="preserve">□ 館内のゴミ出しルールを説明した</t>
  </si>
  <si>
    <t xml:space="preserve">□ 緊急時の連絡先（こういちの電話番号）を伝えた</t>
  </si>
  <si>
    <r>
      <rPr>
        <sz val="11"/>
        <color rgb="FF000000"/>
        <rFont val="DejaVu Sans"/>
        <family val="2"/>
      </rPr>
      <t xml:space="preserve">□ チェックアウト時刻（</t>
    </r>
    <r>
      <rPr>
        <sz val="11"/>
        <color rgb="FF000000"/>
        <rFont val="Yu Gothic UI"/>
        <family val="0"/>
        <charset val="1"/>
      </rPr>
      <t xml:space="preserve">10</t>
    </r>
    <r>
      <rPr>
        <sz val="11"/>
        <color rgb="FF000000"/>
        <rFont val="DejaVu Sans"/>
        <family val="2"/>
      </rPr>
      <t xml:space="preserve">時）を伝えた</t>
    </r>
  </si>
  <si>
    <r>
      <rPr>
        <b val="true"/>
        <sz val="14"/>
        <color rgb="FF1F3864"/>
        <rFont val="Yu Gothic UI"/>
        <family val="0"/>
        <charset val="1"/>
      </rPr>
      <t xml:space="preserve">🏛️ MIGAKI BASE  </t>
    </r>
    <r>
      <rPr>
        <b val="true"/>
        <sz val="14"/>
        <color rgb="FF1F3864"/>
        <rFont val="DejaVu Sans"/>
        <family val="2"/>
      </rPr>
      <t xml:space="preserve">補助金・申請管理</t>
    </r>
  </si>
  <si>
    <r>
      <rPr>
        <sz val="9"/>
        <color rgb="FF444444"/>
        <rFont val="DejaVu Sans"/>
        <family val="2"/>
      </rPr>
      <t xml:space="preserve">締め切り順に並べています。🔴 </t>
    </r>
    <r>
      <rPr>
        <sz val="9"/>
        <color rgb="FF444444"/>
        <rFont val="Yu Gothic UI"/>
        <family val="0"/>
        <charset val="1"/>
      </rPr>
      <t xml:space="preserve">= </t>
    </r>
    <r>
      <rPr>
        <sz val="9"/>
        <color rgb="FF444444"/>
        <rFont val="DejaVu Sans"/>
        <family val="2"/>
      </rPr>
      <t xml:space="preserve">最優先　🟠 </t>
    </r>
    <r>
      <rPr>
        <sz val="9"/>
        <color rgb="FF444444"/>
        <rFont val="Yu Gothic UI"/>
        <family val="0"/>
        <charset val="1"/>
      </rPr>
      <t xml:space="preserve">= </t>
    </r>
    <r>
      <rPr>
        <sz val="9"/>
        <color rgb="FF444444"/>
        <rFont val="DejaVu Sans"/>
        <family val="2"/>
      </rPr>
      <t xml:space="preserve">進行中　🟡 </t>
    </r>
    <r>
      <rPr>
        <sz val="9"/>
        <color rgb="FF444444"/>
        <rFont val="Yu Gothic UI"/>
        <family val="0"/>
        <charset val="1"/>
      </rPr>
      <t xml:space="preserve">= </t>
    </r>
    <r>
      <rPr>
        <sz val="9"/>
        <color rgb="FF444444"/>
        <rFont val="DejaVu Sans"/>
        <family val="2"/>
      </rPr>
      <t xml:space="preserve">準備中　✅ </t>
    </r>
    <r>
      <rPr>
        <sz val="9"/>
        <color rgb="FF444444"/>
        <rFont val="Yu Gothic UI"/>
        <family val="0"/>
        <charset val="1"/>
      </rPr>
      <t xml:space="preserve">= </t>
    </r>
    <r>
      <rPr>
        <sz val="9"/>
        <color rgb="FF444444"/>
        <rFont val="DejaVu Sans"/>
        <family val="2"/>
      </rPr>
      <t xml:space="preserve">完了</t>
    </r>
  </si>
  <si>
    <t xml:space="preserve">優先度</t>
  </si>
  <si>
    <t xml:space="preserve">補助金名</t>
  </si>
  <si>
    <t xml:space="preserve">上限金額</t>
  </si>
  <si>
    <t xml:space="preserve">補助率</t>
  </si>
  <si>
    <t xml:space="preserve">締め切り</t>
  </si>
  <si>
    <t xml:space="preserve">窓口・連絡先</t>
  </si>
  <si>
    <t xml:space="preserve">ステータス</t>
  </si>
  <si>
    <t xml:space="preserve">メモ・アクション</t>
  </si>
  <si>
    <t xml:space="preserve">🔴🔴</t>
  </si>
  <si>
    <t xml:space="preserve">小規模事業者持続化補助金</t>
  </si>
  <si>
    <r>
      <rPr>
        <sz val="10"/>
        <color rgb="FF000000"/>
        <rFont val="DejaVu Sans"/>
        <family val="2"/>
      </rPr>
      <t xml:space="preserve">最大</t>
    </r>
    <r>
      <rPr>
        <sz val="10"/>
        <color rgb="FF000000"/>
        <rFont val="Yu Gothic UI"/>
        <family val="0"/>
        <charset val="1"/>
      </rPr>
      <t xml:space="preserve">200</t>
    </r>
    <r>
      <rPr>
        <sz val="10"/>
        <color rgb="FF000000"/>
        <rFont val="DejaVu Sans"/>
        <family val="2"/>
      </rPr>
      <t xml:space="preserve">万円</t>
    </r>
  </si>
  <si>
    <t xml:space="preserve">2/3</t>
  </si>
  <si>
    <t xml:space="preserve">2026/4/30</t>
  </si>
  <si>
    <r>
      <rPr>
        <sz val="10"/>
        <color rgb="FF000000"/>
        <rFont val="DejaVu Sans"/>
        <family val="2"/>
      </rPr>
      <t xml:space="preserve">上越南商工会
</t>
    </r>
    <r>
      <rPr>
        <sz val="10"/>
        <color rgb="FF000000"/>
        <rFont val="Yu Gothic UI"/>
        <family val="0"/>
        <charset val="1"/>
      </rPr>
      <t xml:space="preserve">025-543-2424</t>
    </r>
  </si>
  <si>
    <r>
      <rPr>
        <sz val="10"/>
        <color rgb="FF000000"/>
        <rFont val="DejaVu Sans"/>
        <family val="2"/>
      </rPr>
      <t xml:space="preserve">🔴 様式</t>
    </r>
    <r>
      <rPr>
        <sz val="10"/>
        <color rgb="FF000000"/>
        <rFont val="Yu Gothic UI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発行依頼中（</t>
    </r>
    <r>
      <rPr>
        <sz val="10"/>
        <color rgb="FF000000"/>
        <rFont val="Yu Gothic UI"/>
        <family val="0"/>
        <charset val="1"/>
      </rPr>
      <t xml:space="preserve">4/16</t>
    </r>
    <r>
      <rPr>
        <sz val="10"/>
        <color rgb="FF000000"/>
        <rFont val="DejaVu Sans"/>
        <family val="2"/>
      </rPr>
      <t xml:space="preserve">必須）</t>
    </r>
  </si>
  <si>
    <t xml:space="preserve">よろず支援拠点で事業計画書ブラッシュアップ後提出</t>
  </si>
  <si>
    <t xml:space="preserve">🔴</t>
  </si>
  <si>
    <r>
      <rPr>
        <b val="true"/>
        <sz val="10"/>
        <color rgb="FF000000"/>
        <rFont val="Yu Gothic UI"/>
        <family val="0"/>
        <charset val="1"/>
      </rPr>
      <t xml:space="preserve">NICO </t>
    </r>
    <r>
      <rPr>
        <b val="true"/>
        <sz val="10"/>
        <color rgb="FF000000"/>
        <rFont val="DejaVu Sans"/>
        <family val="2"/>
      </rPr>
      <t xml:space="preserve">海外展開助成金</t>
    </r>
  </si>
  <si>
    <t xml:space="preserve">要確認</t>
  </si>
  <si>
    <t xml:space="preserve">2026/4/24</t>
  </si>
  <si>
    <t xml:space="preserve">kakushin@nico.or.jp</t>
  </si>
  <si>
    <r>
      <rPr>
        <sz val="10"/>
        <color rgb="FF000000"/>
        <rFont val="DejaVu Sans"/>
        <family val="2"/>
      </rPr>
      <t xml:space="preserve">🟠 メール送信済み（</t>
    </r>
    <r>
      <rPr>
        <sz val="10"/>
        <color rgb="FF000000"/>
        <rFont val="Yu Gothic UI"/>
        <family val="0"/>
        <charset val="1"/>
      </rPr>
      <t xml:space="preserve">4/6</t>
    </r>
    <r>
      <rPr>
        <sz val="10"/>
        <color rgb="FF000000"/>
        <rFont val="DejaVu Sans"/>
        <family val="2"/>
      </rPr>
      <t xml:space="preserve">）・返信待ち</t>
    </r>
  </si>
  <si>
    <t xml:space="preserve">🟡</t>
  </si>
  <si>
    <t xml:space="preserve">中小企業新事業進出補助金</t>
  </si>
  <si>
    <r>
      <rPr>
        <sz val="10"/>
        <color rgb="FF000000"/>
        <rFont val="Yu Gothic UI"/>
        <family val="0"/>
        <charset val="1"/>
      </rPr>
      <t xml:space="preserve">2026/5/19</t>
    </r>
    <r>
      <rPr>
        <sz val="10"/>
        <color rgb="FF000000"/>
        <rFont val="DejaVu Sans"/>
        <family val="2"/>
      </rPr>
      <t xml:space="preserve">〜</t>
    </r>
  </si>
  <si>
    <t xml:space="preserve">🟡 準備中</t>
  </si>
  <si>
    <r>
      <rPr>
        <sz val="10"/>
        <color rgb="FF000000"/>
        <rFont val="Yu Gothic UI"/>
        <family val="0"/>
        <charset val="1"/>
      </rPr>
      <t xml:space="preserve">Phase2</t>
    </r>
    <r>
      <rPr>
        <sz val="10"/>
        <color rgb="FF000000"/>
        <rFont val="DejaVu Sans"/>
        <family val="2"/>
      </rPr>
      <t xml:space="preserve">対象</t>
    </r>
  </si>
  <si>
    <t xml:space="preserve">観光庁 省力化投資補助事業</t>
  </si>
  <si>
    <t xml:space="preserve">2026/5/22</t>
  </si>
  <si>
    <t xml:space="preserve">観光庁</t>
  </si>
  <si>
    <t xml:space="preserve">糸魚川市 空き家活用推進事業</t>
  </si>
  <si>
    <t xml:space="preserve">着工前申請</t>
  </si>
  <si>
    <r>
      <rPr>
        <sz val="10"/>
        <color rgb="FF000000"/>
        <rFont val="DejaVu Sans"/>
        <family val="2"/>
      </rPr>
      <t xml:space="preserve">糸魚川市 企画定住課
</t>
    </r>
    <r>
      <rPr>
        <sz val="10"/>
        <color rgb="FF000000"/>
        <rFont val="Yu Gothic UI"/>
        <family val="0"/>
        <charset val="1"/>
      </rPr>
      <t xml:space="preserve">025-552-1511</t>
    </r>
  </si>
  <si>
    <t xml:space="preserve">🔲 未問い合わせ</t>
  </si>
  <si>
    <t xml:space="preserve">新潟県 空き家再生まちづくり支援</t>
  </si>
  <si>
    <t xml:space="preserve">新潟県 建築住宅課</t>
  </si>
  <si>
    <t xml:space="preserve">糸魚川創成塾（補助金獲得研修）</t>
  </si>
  <si>
    <t xml:space="preserve">—</t>
  </si>
  <si>
    <r>
      <rPr>
        <sz val="10"/>
        <color rgb="FF000000"/>
        <rFont val="Yu Gothic UI"/>
        <family val="0"/>
        <charset val="1"/>
      </rPr>
      <t xml:space="preserve">2026/6</t>
    </r>
    <r>
      <rPr>
        <sz val="10"/>
        <color rgb="FF000000"/>
        <rFont val="DejaVu Sans"/>
        <family val="2"/>
      </rPr>
      <t xml:space="preserve">〜</t>
    </r>
    <r>
      <rPr>
        <sz val="10"/>
        <color rgb="FF000000"/>
        <rFont val="Yu Gothic UI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月</t>
    </r>
  </si>
  <si>
    <t xml:space="preserve">糸魚川市</t>
  </si>
  <si>
    <t xml:space="preserve">🔲 受講検討中</t>
  </si>
  <si>
    <r>
      <rPr>
        <sz val="10"/>
        <color rgb="FF000000"/>
        <rFont val="Yu Gothic UI"/>
        <family val="0"/>
        <charset val="1"/>
      </rPr>
      <t xml:space="preserve">Phase2</t>
    </r>
    <r>
      <rPr>
        <sz val="10"/>
        <color rgb="FF000000"/>
        <rFont val="DejaVu Sans"/>
        <family val="2"/>
      </rPr>
      <t xml:space="preserve">と並行</t>
    </r>
  </si>
  <si>
    <r>
      <rPr>
        <b val="true"/>
        <sz val="14"/>
        <color rgb="FF1F3864"/>
        <rFont val="Yu Gothic UI"/>
        <family val="0"/>
        <charset val="1"/>
      </rPr>
      <t xml:space="preserve">✅ MIGAKI BASE  </t>
    </r>
    <r>
      <rPr>
        <b val="true"/>
        <sz val="14"/>
        <color rgb="FF1F3864"/>
        <rFont val="DejaVu Sans"/>
        <family val="2"/>
      </rPr>
      <t xml:space="preserve">週次</t>
    </r>
    <r>
      <rPr>
        <b val="true"/>
        <sz val="14"/>
        <color rgb="FF1F3864"/>
        <rFont val="Yu Gothic UI"/>
        <family val="0"/>
        <charset val="1"/>
      </rPr>
      <t xml:space="preserve">TODO</t>
    </r>
    <r>
      <rPr>
        <b val="true"/>
        <sz val="14"/>
        <color rgb="FF1F3864"/>
        <rFont val="DejaVu Sans"/>
        <family val="2"/>
      </rPr>
      <t xml:space="preserve">ダッシュボード</t>
    </r>
  </si>
  <si>
    <r>
      <rPr>
        <b val="true"/>
        <sz val="11"/>
        <color rgb="FFFFFFFF"/>
        <rFont val="DejaVu Sans"/>
        <family val="2"/>
      </rPr>
      <t xml:space="preserve">📌 今週の最重要アクション（</t>
    </r>
    <r>
      <rPr>
        <b val="true"/>
        <sz val="11"/>
        <color rgb="FFFFFFFF"/>
        <rFont val="Yu Gothic UI"/>
        <family val="0"/>
        <charset val="1"/>
      </rPr>
      <t xml:space="preserve">2026</t>
    </r>
    <r>
      <rPr>
        <b val="true"/>
        <sz val="11"/>
        <color rgb="FFFFFFFF"/>
        <rFont val="DejaVu Sans"/>
        <family val="2"/>
      </rPr>
      <t xml:space="preserve">年</t>
    </r>
    <r>
      <rPr>
        <b val="true"/>
        <sz val="11"/>
        <color rgb="FFFFFFFF"/>
        <rFont val="Yu Gothic UI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月 第</t>
    </r>
    <r>
      <rPr>
        <b val="true"/>
        <sz val="11"/>
        <color rgb="FFFFFFFF"/>
        <rFont val="Yu Gothic UI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週）</t>
    </r>
  </si>
  <si>
    <t xml:space="preserve">タスク</t>
  </si>
  <si>
    <t xml:space="preserve">担当</t>
  </si>
  <si>
    <t xml:space="preserve">期限</t>
  </si>
  <si>
    <r>
      <rPr>
        <b val="true"/>
        <sz val="10"/>
        <color rgb="FF000000"/>
        <rFont val="DejaVu Sans"/>
        <family val="2"/>
      </rPr>
      <t xml:space="preserve">上越南商工会へ電話（様式</t>
    </r>
    <r>
      <rPr>
        <b val="true"/>
        <sz val="10"/>
        <color rgb="FF000000"/>
        <rFont val="Yu Gothic UI"/>
        <family val="0"/>
        <charset val="1"/>
      </rPr>
      <t xml:space="preserve">4</t>
    </r>
    <r>
      <rPr>
        <b val="true"/>
        <sz val="10"/>
        <color rgb="FF000000"/>
        <rFont val="DejaVu Sans"/>
        <family val="2"/>
      </rPr>
      <t xml:space="preserve">発行依頼）</t>
    </r>
  </si>
  <si>
    <t xml:space="preserve">こういち</t>
  </si>
  <si>
    <r>
      <rPr>
        <sz val="10"/>
        <color rgb="FF000000"/>
        <rFont val="Yu Gothic UI"/>
        <family val="0"/>
        <charset val="1"/>
      </rPr>
      <t xml:space="preserve">4/16</t>
    </r>
    <r>
      <rPr>
        <sz val="10"/>
        <color rgb="FF000000"/>
        <rFont val="DejaVu Sans"/>
        <family val="2"/>
      </rPr>
      <t xml:space="preserve">（木）</t>
    </r>
  </si>
  <si>
    <t xml:space="preserve">🔲 未着手</t>
  </si>
  <si>
    <r>
      <rPr>
        <sz val="10"/>
        <color rgb="FF000000"/>
        <rFont val="Yu Gothic UI"/>
        <family val="0"/>
        <charset val="1"/>
      </rPr>
      <t xml:space="preserve">TEL: 025-543-2424</t>
    </r>
    <r>
      <rPr>
        <sz val="10"/>
        <color rgb="FF000000"/>
        <rFont val="DejaVu Sans"/>
        <family val="2"/>
      </rPr>
      <t xml:space="preserve">　→電話→メールで依頼</t>
    </r>
  </si>
  <si>
    <t xml:space="preserve">持続化補助金 申請書類完成・提出</t>
  </si>
  <si>
    <r>
      <rPr>
        <sz val="10"/>
        <color rgb="FF000000"/>
        <rFont val="Yu Gothic UI"/>
        <family val="0"/>
        <charset val="1"/>
      </rPr>
      <t xml:space="preserve">4/30</t>
    </r>
    <r>
      <rPr>
        <sz val="10"/>
        <color rgb="FF000000"/>
        <rFont val="DejaVu Sans"/>
        <family val="2"/>
      </rPr>
      <t xml:space="preserve">（水）</t>
    </r>
  </si>
  <si>
    <t xml:space="preserve">🟠 作成中</t>
  </si>
  <si>
    <r>
      <rPr>
        <sz val="10"/>
        <color rgb="FF000000"/>
        <rFont val="DejaVu Sans"/>
        <family val="2"/>
      </rPr>
      <t xml:space="preserve">様式</t>
    </r>
    <r>
      <rPr>
        <sz val="10"/>
        <color rgb="FF000000"/>
        <rFont val="Yu Gothic UI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下書きあり。よろず面談後に仕上げ</t>
    </r>
  </si>
  <si>
    <t xml:space="preserve">志賀様メール送信（旅館業許可確認）</t>
  </si>
  <si>
    <t xml:space="preserve">今週中</t>
  </si>
  <si>
    <t xml:space="preserve">🟡 下書き済み</t>
  </si>
  <si>
    <r>
      <rPr>
        <sz val="10"/>
        <color rgb="FF000000"/>
        <rFont val="Yu Gothic UI"/>
        <family val="0"/>
        <charset val="1"/>
      </rPr>
      <t xml:space="preserve">Gmail</t>
    </r>
    <r>
      <rPr>
        <sz val="10"/>
        <color rgb="FF000000"/>
        <rFont val="DejaVu Sans"/>
        <family val="2"/>
      </rPr>
      <t xml:space="preserve">に下書き保存済み</t>
    </r>
  </si>
  <si>
    <t xml:space="preserve">今井様メール送信（持続化補助金相談）</t>
  </si>
  <si>
    <r>
      <rPr>
        <sz val="10"/>
        <color rgb="FF000000"/>
        <rFont val="Yu Gothic UI"/>
        <family val="0"/>
        <charset val="1"/>
      </rPr>
      <t xml:space="preserve">Instagram 2</t>
    </r>
    <r>
      <rPr>
        <sz val="10"/>
        <color rgb="FF000000"/>
        <rFont val="DejaVu Sans"/>
        <family val="2"/>
      </rPr>
      <t xml:space="preserve">アカウント削除</t>
    </r>
  </si>
  <si>
    <t xml:space="preserve">帰宅後</t>
  </si>
  <si>
    <r>
      <rPr>
        <sz val="10"/>
        <color rgb="FF000000"/>
        <rFont val="Yu Gothic UI"/>
        <family val="0"/>
        <charset val="1"/>
      </rPr>
      <t xml:space="preserve">@kou_inakan </t>
    </r>
    <r>
      <rPr>
        <sz val="10"/>
        <color rgb="FF000000"/>
        <rFont val="DejaVu Sans"/>
        <family val="2"/>
      </rPr>
      <t xml:space="preserve">と </t>
    </r>
    <r>
      <rPr>
        <sz val="10"/>
        <color rgb="FF000000"/>
        <rFont val="Yu Gothic UI"/>
        <family val="0"/>
        <charset val="1"/>
      </rPr>
      <t xml:space="preserve">@primarykizi </t>
    </r>
    <r>
      <rPr>
        <sz val="10"/>
        <color rgb="FF000000"/>
        <rFont val="DejaVu Sans"/>
        <family val="2"/>
      </rPr>
      <t xml:space="preserve">をスマホから削除</t>
    </r>
  </si>
  <si>
    <t xml:space="preserve">🟠</t>
  </si>
  <si>
    <r>
      <rPr>
        <sz val="10"/>
        <color rgb="FF000000"/>
        <rFont val="Yu Gothic UI"/>
        <family val="0"/>
        <charset val="1"/>
      </rPr>
      <t xml:space="preserve">4/19 </t>
    </r>
    <r>
      <rPr>
        <sz val="10"/>
        <color rgb="FF000000"/>
        <rFont val="DejaVu Sans"/>
        <family val="2"/>
      </rPr>
      <t xml:space="preserve">帰省：現地採寸・ビフォー写真撮影</t>
    </r>
  </si>
  <si>
    <t xml:space="preserve">こういち＋両親</t>
  </si>
  <si>
    <r>
      <rPr>
        <sz val="10"/>
        <color rgb="FF000000"/>
        <rFont val="Yu Gothic UI"/>
        <family val="0"/>
        <charset val="1"/>
      </rPr>
      <t xml:space="preserve">4/19</t>
    </r>
    <r>
      <rPr>
        <sz val="10"/>
        <color rgb="FF000000"/>
        <rFont val="DejaVu Sans"/>
        <family val="2"/>
      </rPr>
      <t xml:space="preserve">（日）</t>
    </r>
  </si>
  <si>
    <t xml:space="preserve">🔲 準備中</t>
  </si>
  <si>
    <r>
      <rPr>
        <sz val="10"/>
        <color rgb="FF000000"/>
        <rFont val="Yu Gothic UI"/>
        <family val="0"/>
        <charset val="1"/>
      </rPr>
      <t xml:space="preserve">1000</t>
    </r>
    <r>
      <rPr>
        <sz val="10"/>
        <color rgb="FF000000"/>
        <rFont val="DejaVu Sans"/>
        <family val="2"/>
      </rPr>
      <t xml:space="preserve">枚目標。補助金申請に必要</t>
    </r>
  </si>
  <si>
    <t xml:space="preserve">じゅん君へ見積書依頼（トイレ・エアコン）</t>
  </si>
  <si>
    <r>
      <rPr>
        <sz val="10"/>
        <color rgb="FF000000"/>
        <rFont val="Yu Gothic UI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月中旬</t>
    </r>
  </si>
  <si>
    <r>
      <rPr>
        <sz val="10"/>
        <color rgb="FF000000"/>
        <rFont val="DejaVu Sans"/>
        <family val="2"/>
      </rPr>
      <t xml:space="preserve">新</t>
    </r>
    <r>
      <rPr>
        <sz val="10"/>
        <color rgb="FF000000"/>
        <rFont val="Yu Gothic UI"/>
        <family val="0"/>
        <charset val="1"/>
      </rPr>
      <t xml:space="preserve">Instagram</t>
    </r>
    <r>
      <rPr>
        <sz val="10"/>
        <color rgb="FF000000"/>
        <rFont val="DejaVu Sans"/>
        <family val="2"/>
      </rPr>
      <t xml:space="preserve">アカウント設計</t>
    </r>
  </si>
  <si>
    <r>
      <rPr>
        <sz val="10"/>
        <color rgb="FF000000"/>
        <rFont val="DejaVu Sans"/>
        <family val="2"/>
      </rPr>
      <t xml:space="preserve">こういち＋</t>
    </r>
    <r>
      <rPr>
        <sz val="10"/>
        <color rgb="FF000000"/>
        <rFont val="Yu Gothic UI"/>
        <family val="0"/>
        <charset val="1"/>
      </rPr>
      <t xml:space="preserve">Claude</t>
    </r>
  </si>
  <si>
    <t xml:space="preserve">削除後</t>
  </si>
  <si>
    <t xml:space="preserve">🔲 待機中</t>
  </si>
  <si>
    <r>
      <rPr>
        <sz val="10"/>
        <color rgb="FF000000"/>
        <rFont val="Yu Gothic UI"/>
        <family val="0"/>
        <charset val="1"/>
      </rPr>
      <t xml:space="preserve">hikaru_kango26 </t>
    </r>
    <r>
      <rPr>
        <sz val="10"/>
        <color rgb="FF000000"/>
        <rFont val="DejaVu Sans"/>
        <family val="2"/>
      </rPr>
      <t xml:space="preserve">で</t>
    </r>
    <r>
      <rPr>
        <sz val="10"/>
        <color rgb="FF000000"/>
        <rFont val="Yu Gothic UI"/>
        <family val="0"/>
        <charset val="1"/>
      </rPr>
      <t xml:space="preserve">note</t>
    </r>
    <r>
      <rPr>
        <sz val="10"/>
        <color rgb="FF000000"/>
        <rFont val="DejaVu Sans"/>
        <family val="2"/>
      </rPr>
      <t xml:space="preserve">と統一</t>
    </r>
  </si>
  <si>
    <r>
      <rPr>
        <sz val="10"/>
        <color rgb="FF000000"/>
        <rFont val="DejaVu Sans"/>
        <family val="2"/>
      </rPr>
      <t xml:space="preserve">リベシティマップに</t>
    </r>
    <r>
      <rPr>
        <sz val="10"/>
        <color rgb="FF000000"/>
        <rFont val="Yu Gothic UI"/>
        <family val="0"/>
        <charset val="1"/>
      </rPr>
      <t xml:space="preserve">MIGAKI BASE</t>
    </r>
    <r>
      <rPr>
        <sz val="10"/>
        <color rgb="FF000000"/>
        <rFont val="DejaVu Sans"/>
        <family val="2"/>
      </rPr>
      <t xml:space="preserve">を登録</t>
    </r>
  </si>
  <si>
    <t xml:space="preserve">今月中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</si>
</sst>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Yu Gothic UI"/>
      <family val="0"/>
      <charset val="1"/>
    </font>
    <font>
      <b val="true"/>
      <sz val="16"/>
      <color rgb="FF1F3864"/>
      <name val="DejaVu Sans"/>
      <family val="2"/>
    </font>
    <font>
      <sz val="9"/>
      <color rgb="FF666666"/>
      <name val="DejaVu Sans"/>
      <family val="2"/>
    </font>
    <font>
      <b val="true"/>
      <sz val="11"/>
      <color rgb="FFFFFFFF"/>
      <name val="Yu Gothic UI"/>
      <family val="0"/>
      <charset val="1"/>
    </font>
    <font>
      <b val="true"/>
      <sz val="11"/>
      <color rgb="FFFFFFFF"/>
      <name val="DejaVu Sans"/>
      <family val="2"/>
    </font>
    <font>
      <sz val="10"/>
      <color rgb="FF000000"/>
      <name val="Yu Gothic UI"/>
      <family val="0"/>
      <charset val="1"/>
    </font>
    <font>
      <sz val="10"/>
      <color rgb="FF000000"/>
      <name val="DejaVu Sans"/>
      <family val="2"/>
    </font>
    <font>
      <b val="true"/>
      <sz val="14"/>
      <color rgb="FF1F3864"/>
      <name val="Yu Gothic UI"/>
      <family val="0"/>
      <charset val="1"/>
    </font>
    <font>
      <b val="true"/>
      <sz val="14"/>
      <color rgb="FF1F3864"/>
      <name val="DejaVu Sans"/>
      <family val="2"/>
    </font>
    <font>
      <sz val="9"/>
      <color rgb="FF444444"/>
      <name val="DejaVu Sans"/>
      <family val="2"/>
    </font>
    <font>
      <sz val="9"/>
      <color rgb="FF444444"/>
      <name val="Yu Gothic UI"/>
      <family val="0"/>
      <charset val="1"/>
    </font>
    <font>
      <b val="true"/>
      <sz val="11"/>
      <color rgb="FF1F3864"/>
      <name val="DejaVu Sans"/>
      <family val="2"/>
    </font>
    <font>
      <b val="true"/>
      <sz val="10"/>
      <color rgb="FF000000"/>
      <name val="DejaVu Sans"/>
      <family val="2"/>
    </font>
    <font>
      <sz val="10"/>
      <color rgb="FF888888"/>
      <name val="Yu Gothic UI"/>
      <family val="0"/>
      <charset val="1"/>
    </font>
    <font>
      <b val="true"/>
      <sz val="10"/>
      <color rgb="FF1F3864"/>
      <name val="DejaVu Sans"/>
      <family val="2"/>
    </font>
    <font>
      <b val="true"/>
      <sz val="10"/>
      <color rgb="FF2E75B6"/>
      <name val="Yu Gothic UI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1F3864"/>
      <name val="Yu Gothic UI"/>
      <family val="0"/>
      <charset val="1"/>
    </font>
    <font>
      <b val="true"/>
      <sz val="15"/>
      <color rgb="FF1F3864"/>
      <name val="DejaVu Sans"/>
      <family val="2"/>
    </font>
    <font>
      <sz val="10"/>
      <color rgb="FF333333"/>
      <name val="DejaVu Sans"/>
      <family val="2"/>
    </font>
    <font>
      <b val="true"/>
      <sz val="12"/>
      <color rgb="FFFFFFFF"/>
      <name val="DejaVu Sans"/>
      <family val="2"/>
    </font>
    <font>
      <sz val="11"/>
      <color rgb="FF000000"/>
      <name val="DejaVu Sans"/>
      <family val="2"/>
    </font>
    <font>
      <sz val="11"/>
      <color rgb="FF000000"/>
      <name val="Yu Gothic UI"/>
      <family val="0"/>
      <charset val="1"/>
    </font>
    <font>
      <b val="true"/>
      <sz val="10"/>
      <color rgb="FF000000"/>
      <name val="Yu Gothic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DEBD0"/>
      </patternFill>
    </fill>
    <fill>
      <patternFill patternType="solid">
        <fgColor rgb="FFFDEBD0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BD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5" hidden="false" customHeight="false" outlineLevel="0" collapsed="false">
      <c r="A4" s="5" t="n">
        <v>1</v>
      </c>
      <c r="B4" s="6"/>
      <c r="C4" s="6"/>
      <c r="D4" s="6"/>
      <c r="E4" s="5" t="n">
        <f aca="false">IFERROR(D4-C4,"")</f>
        <v>0</v>
      </c>
      <c r="F4" s="6"/>
      <c r="G4" s="7" t="n">
        <v>1</v>
      </c>
      <c r="H4" s="6"/>
      <c r="I4" s="6"/>
      <c r="J4" s="8"/>
      <c r="K4" s="9" t="s">
        <v>16</v>
      </c>
      <c r="L4" s="7" t="s">
        <v>17</v>
      </c>
      <c r="M4" s="7" t="s">
        <v>17</v>
      </c>
      <c r="N4" s="6"/>
    </row>
    <row r="5" customFormat="false" ht="15" hidden="false" customHeight="false" outlineLevel="0" collapsed="false">
      <c r="A5" s="10" t="n">
        <v>2</v>
      </c>
      <c r="B5" s="6"/>
      <c r="C5" s="6"/>
      <c r="D5" s="6"/>
      <c r="E5" s="10" t="n">
        <f aca="false">IFERROR(D5-C5,"")</f>
        <v>0</v>
      </c>
      <c r="F5" s="6"/>
      <c r="G5" s="7" t="n">
        <v>1</v>
      </c>
      <c r="H5" s="6"/>
      <c r="I5" s="6"/>
      <c r="J5" s="8"/>
      <c r="K5" s="9" t="s">
        <v>16</v>
      </c>
      <c r="L5" s="7" t="s">
        <v>17</v>
      </c>
      <c r="M5" s="7" t="s">
        <v>17</v>
      </c>
      <c r="N5" s="6"/>
    </row>
    <row r="6" customFormat="false" ht="15" hidden="false" customHeight="false" outlineLevel="0" collapsed="false">
      <c r="A6" s="5" t="n">
        <v>3</v>
      </c>
      <c r="B6" s="6"/>
      <c r="C6" s="6"/>
      <c r="D6" s="6"/>
      <c r="E6" s="5" t="n">
        <f aca="false">IFERROR(D6-C6,"")</f>
        <v>0</v>
      </c>
      <c r="F6" s="6"/>
      <c r="G6" s="7" t="n">
        <v>1</v>
      </c>
      <c r="H6" s="6"/>
      <c r="I6" s="6"/>
      <c r="J6" s="8"/>
      <c r="K6" s="9" t="s">
        <v>16</v>
      </c>
      <c r="L6" s="7" t="s">
        <v>17</v>
      </c>
      <c r="M6" s="7" t="s">
        <v>17</v>
      </c>
      <c r="N6" s="6"/>
    </row>
    <row r="7" customFormat="false" ht="15" hidden="false" customHeight="false" outlineLevel="0" collapsed="false">
      <c r="A7" s="10" t="n">
        <v>4</v>
      </c>
      <c r="B7" s="6"/>
      <c r="C7" s="6"/>
      <c r="D7" s="6"/>
      <c r="E7" s="10" t="n">
        <f aca="false">IFERROR(D7-C7,"")</f>
        <v>0</v>
      </c>
      <c r="F7" s="6"/>
      <c r="G7" s="7" t="n">
        <v>1</v>
      </c>
      <c r="H7" s="6"/>
      <c r="I7" s="6"/>
      <c r="J7" s="8"/>
      <c r="K7" s="9" t="s">
        <v>16</v>
      </c>
      <c r="L7" s="7" t="s">
        <v>17</v>
      </c>
      <c r="M7" s="7" t="s">
        <v>17</v>
      </c>
      <c r="N7" s="6"/>
    </row>
    <row r="8" customFormat="false" ht="15" hidden="false" customHeight="false" outlineLevel="0" collapsed="false">
      <c r="A8" s="5" t="n">
        <v>5</v>
      </c>
      <c r="B8" s="6"/>
      <c r="C8" s="6"/>
      <c r="D8" s="6"/>
      <c r="E8" s="5" t="n">
        <f aca="false">IFERROR(D8-C8,"")</f>
        <v>0</v>
      </c>
      <c r="F8" s="6"/>
      <c r="G8" s="7" t="n">
        <v>1</v>
      </c>
      <c r="H8" s="6"/>
      <c r="I8" s="6"/>
      <c r="J8" s="8"/>
      <c r="K8" s="9" t="s">
        <v>16</v>
      </c>
      <c r="L8" s="7" t="s">
        <v>17</v>
      </c>
      <c r="M8" s="7" t="s">
        <v>17</v>
      </c>
      <c r="N8" s="6"/>
    </row>
    <row r="9" customFormat="false" ht="15" hidden="false" customHeight="false" outlineLevel="0" collapsed="false">
      <c r="A9" s="10" t="n">
        <v>6</v>
      </c>
      <c r="B9" s="6"/>
      <c r="C9" s="6"/>
      <c r="D9" s="6"/>
      <c r="E9" s="10" t="n">
        <f aca="false">IFERROR(D9-C9,"")</f>
        <v>0</v>
      </c>
      <c r="F9" s="6"/>
      <c r="G9" s="7" t="n">
        <v>1</v>
      </c>
      <c r="H9" s="6"/>
      <c r="I9" s="6"/>
      <c r="J9" s="8"/>
      <c r="K9" s="9" t="s">
        <v>16</v>
      </c>
      <c r="L9" s="7" t="s">
        <v>17</v>
      </c>
      <c r="M9" s="7" t="s">
        <v>17</v>
      </c>
      <c r="N9" s="6"/>
    </row>
    <row r="10" customFormat="false" ht="15" hidden="false" customHeight="false" outlineLevel="0" collapsed="false">
      <c r="A10" s="5" t="n">
        <v>7</v>
      </c>
      <c r="B10" s="6"/>
      <c r="C10" s="6"/>
      <c r="D10" s="6"/>
      <c r="E10" s="5" t="n">
        <f aca="false">IFERROR(D10-C10,"")</f>
        <v>0</v>
      </c>
      <c r="F10" s="6"/>
      <c r="G10" s="7" t="n">
        <v>1</v>
      </c>
      <c r="H10" s="6"/>
      <c r="I10" s="6"/>
      <c r="J10" s="8"/>
      <c r="K10" s="9" t="s">
        <v>16</v>
      </c>
      <c r="L10" s="7" t="s">
        <v>17</v>
      </c>
      <c r="M10" s="7" t="s">
        <v>17</v>
      </c>
      <c r="N10" s="6"/>
    </row>
    <row r="11" customFormat="false" ht="15" hidden="false" customHeight="false" outlineLevel="0" collapsed="false">
      <c r="A11" s="10" t="n">
        <v>8</v>
      </c>
      <c r="B11" s="6"/>
      <c r="C11" s="6"/>
      <c r="D11" s="6"/>
      <c r="E11" s="10" t="n">
        <f aca="false">IFERROR(D11-C11,"")</f>
        <v>0</v>
      </c>
      <c r="F11" s="6"/>
      <c r="G11" s="7" t="n">
        <v>1</v>
      </c>
      <c r="H11" s="6"/>
      <c r="I11" s="6"/>
      <c r="J11" s="8"/>
      <c r="K11" s="9" t="s">
        <v>16</v>
      </c>
      <c r="L11" s="7" t="s">
        <v>17</v>
      </c>
      <c r="M11" s="7" t="s">
        <v>17</v>
      </c>
      <c r="N11" s="6"/>
    </row>
    <row r="12" customFormat="false" ht="15" hidden="false" customHeight="false" outlineLevel="0" collapsed="false">
      <c r="A12" s="5" t="n">
        <v>9</v>
      </c>
      <c r="B12" s="6"/>
      <c r="C12" s="6"/>
      <c r="D12" s="6"/>
      <c r="E12" s="5" t="n">
        <f aca="false">IFERROR(D12-C12,"")</f>
        <v>0</v>
      </c>
      <c r="F12" s="6"/>
      <c r="G12" s="7" t="n">
        <v>1</v>
      </c>
      <c r="H12" s="6"/>
      <c r="I12" s="6"/>
      <c r="J12" s="8"/>
      <c r="K12" s="9" t="s">
        <v>16</v>
      </c>
      <c r="L12" s="7" t="s">
        <v>17</v>
      </c>
      <c r="M12" s="7" t="s">
        <v>17</v>
      </c>
      <c r="N12" s="6"/>
    </row>
    <row r="13" customFormat="false" ht="15" hidden="false" customHeight="false" outlineLevel="0" collapsed="false">
      <c r="A13" s="10" t="n">
        <v>10</v>
      </c>
      <c r="B13" s="6"/>
      <c r="C13" s="6"/>
      <c r="D13" s="6"/>
      <c r="E13" s="10" t="n">
        <f aca="false">IFERROR(D13-C13,"")</f>
        <v>0</v>
      </c>
      <c r="F13" s="6"/>
      <c r="G13" s="7" t="n">
        <v>1</v>
      </c>
      <c r="H13" s="6"/>
      <c r="I13" s="6"/>
      <c r="J13" s="8"/>
      <c r="K13" s="9" t="s">
        <v>16</v>
      </c>
      <c r="L13" s="7" t="s">
        <v>17</v>
      </c>
      <c r="M13" s="7" t="s">
        <v>17</v>
      </c>
      <c r="N13" s="6"/>
    </row>
    <row r="14" customFormat="false" ht="15" hidden="false" customHeight="false" outlineLevel="0" collapsed="false">
      <c r="A14" s="5" t="n">
        <v>11</v>
      </c>
      <c r="B14" s="6"/>
      <c r="C14" s="6"/>
      <c r="D14" s="6"/>
      <c r="E14" s="5" t="n">
        <f aca="false">IFERROR(D14-C14,"")</f>
        <v>0</v>
      </c>
      <c r="F14" s="6"/>
      <c r="G14" s="7" t="n">
        <v>1</v>
      </c>
      <c r="H14" s="6"/>
      <c r="I14" s="6"/>
      <c r="J14" s="8"/>
      <c r="K14" s="9" t="s">
        <v>16</v>
      </c>
      <c r="L14" s="7" t="s">
        <v>17</v>
      </c>
      <c r="M14" s="7" t="s">
        <v>17</v>
      </c>
      <c r="N14" s="6"/>
    </row>
    <row r="15" customFormat="false" ht="15" hidden="false" customHeight="false" outlineLevel="0" collapsed="false">
      <c r="A15" s="10" t="n">
        <v>12</v>
      </c>
      <c r="B15" s="6"/>
      <c r="C15" s="6"/>
      <c r="D15" s="6"/>
      <c r="E15" s="10" t="n">
        <f aca="false">IFERROR(D15-C15,"")</f>
        <v>0</v>
      </c>
      <c r="F15" s="6"/>
      <c r="G15" s="7" t="n">
        <v>1</v>
      </c>
      <c r="H15" s="6"/>
      <c r="I15" s="6"/>
      <c r="J15" s="8"/>
      <c r="K15" s="9" t="s">
        <v>16</v>
      </c>
      <c r="L15" s="7" t="s">
        <v>17</v>
      </c>
      <c r="M15" s="7" t="s">
        <v>17</v>
      </c>
      <c r="N15" s="6"/>
    </row>
    <row r="16" customFormat="false" ht="15" hidden="false" customHeight="false" outlineLevel="0" collapsed="false">
      <c r="A16" s="5" t="n">
        <v>13</v>
      </c>
      <c r="B16" s="6"/>
      <c r="C16" s="6"/>
      <c r="D16" s="6"/>
      <c r="E16" s="5" t="n">
        <f aca="false">IFERROR(D16-C16,"")</f>
        <v>0</v>
      </c>
      <c r="F16" s="6"/>
      <c r="G16" s="7" t="n">
        <v>1</v>
      </c>
      <c r="H16" s="6"/>
      <c r="I16" s="6"/>
      <c r="J16" s="8"/>
      <c r="K16" s="9" t="s">
        <v>16</v>
      </c>
      <c r="L16" s="7" t="s">
        <v>17</v>
      </c>
      <c r="M16" s="7" t="s">
        <v>17</v>
      </c>
      <c r="N16" s="6"/>
    </row>
    <row r="17" customFormat="false" ht="15" hidden="false" customHeight="false" outlineLevel="0" collapsed="false">
      <c r="A17" s="10" t="n">
        <v>14</v>
      </c>
      <c r="B17" s="6"/>
      <c r="C17" s="6"/>
      <c r="D17" s="6"/>
      <c r="E17" s="10" t="n">
        <f aca="false">IFERROR(D17-C17,"")</f>
        <v>0</v>
      </c>
      <c r="F17" s="6"/>
      <c r="G17" s="7" t="n">
        <v>1</v>
      </c>
      <c r="H17" s="6"/>
      <c r="I17" s="6"/>
      <c r="J17" s="8"/>
      <c r="K17" s="9" t="s">
        <v>16</v>
      </c>
      <c r="L17" s="7" t="s">
        <v>17</v>
      </c>
      <c r="M17" s="7" t="s">
        <v>17</v>
      </c>
      <c r="N17" s="6"/>
    </row>
    <row r="18" customFormat="false" ht="15" hidden="false" customHeight="false" outlineLevel="0" collapsed="false">
      <c r="A18" s="5" t="n">
        <v>15</v>
      </c>
      <c r="B18" s="6"/>
      <c r="C18" s="6"/>
      <c r="D18" s="6"/>
      <c r="E18" s="5" t="n">
        <f aca="false">IFERROR(D18-C18,"")</f>
        <v>0</v>
      </c>
      <c r="F18" s="6"/>
      <c r="G18" s="7" t="n">
        <v>1</v>
      </c>
      <c r="H18" s="6"/>
      <c r="I18" s="6"/>
      <c r="J18" s="8"/>
      <c r="K18" s="9" t="s">
        <v>16</v>
      </c>
      <c r="L18" s="7" t="s">
        <v>17</v>
      </c>
      <c r="M18" s="7" t="s">
        <v>17</v>
      </c>
      <c r="N18" s="6"/>
    </row>
    <row r="19" customFormat="false" ht="15" hidden="false" customHeight="false" outlineLevel="0" collapsed="false">
      <c r="A19" s="10" t="n">
        <v>16</v>
      </c>
      <c r="B19" s="6"/>
      <c r="C19" s="6"/>
      <c r="D19" s="6"/>
      <c r="E19" s="10" t="n">
        <f aca="false">IFERROR(D19-C19,"")</f>
        <v>0</v>
      </c>
      <c r="F19" s="6"/>
      <c r="G19" s="7" t="n">
        <v>1</v>
      </c>
      <c r="H19" s="6"/>
      <c r="I19" s="6"/>
      <c r="J19" s="8"/>
      <c r="K19" s="9" t="s">
        <v>16</v>
      </c>
      <c r="L19" s="7" t="s">
        <v>17</v>
      </c>
      <c r="M19" s="7" t="s">
        <v>17</v>
      </c>
      <c r="N19" s="6"/>
    </row>
    <row r="20" customFormat="false" ht="15" hidden="false" customHeight="false" outlineLevel="0" collapsed="false">
      <c r="A20" s="5" t="n">
        <v>17</v>
      </c>
      <c r="B20" s="6"/>
      <c r="C20" s="6"/>
      <c r="D20" s="6"/>
      <c r="E20" s="5" t="n">
        <f aca="false">IFERROR(D20-C20,"")</f>
        <v>0</v>
      </c>
      <c r="F20" s="6"/>
      <c r="G20" s="7" t="n">
        <v>1</v>
      </c>
      <c r="H20" s="6"/>
      <c r="I20" s="6"/>
      <c r="J20" s="8"/>
      <c r="K20" s="9" t="s">
        <v>16</v>
      </c>
      <c r="L20" s="7" t="s">
        <v>17</v>
      </c>
      <c r="M20" s="7" t="s">
        <v>17</v>
      </c>
      <c r="N20" s="6"/>
    </row>
    <row r="21" customFormat="false" ht="15" hidden="false" customHeight="false" outlineLevel="0" collapsed="false">
      <c r="A21" s="10" t="n">
        <v>18</v>
      </c>
      <c r="B21" s="6"/>
      <c r="C21" s="6"/>
      <c r="D21" s="6"/>
      <c r="E21" s="10" t="n">
        <f aca="false">IFERROR(D21-C21,"")</f>
        <v>0</v>
      </c>
      <c r="F21" s="6"/>
      <c r="G21" s="7" t="n">
        <v>1</v>
      </c>
      <c r="H21" s="6"/>
      <c r="I21" s="6"/>
      <c r="J21" s="8"/>
      <c r="K21" s="9" t="s">
        <v>16</v>
      </c>
      <c r="L21" s="7" t="s">
        <v>17</v>
      </c>
      <c r="M21" s="7" t="s">
        <v>17</v>
      </c>
      <c r="N21" s="6"/>
    </row>
    <row r="22" customFormat="false" ht="15" hidden="false" customHeight="false" outlineLevel="0" collapsed="false">
      <c r="A22" s="5" t="n">
        <v>19</v>
      </c>
      <c r="B22" s="6"/>
      <c r="C22" s="6"/>
      <c r="D22" s="6"/>
      <c r="E22" s="5" t="n">
        <f aca="false">IFERROR(D22-C22,"")</f>
        <v>0</v>
      </c>
      <c r="F22" s="6"/>
      <c r="G22" s="7" t="n">
        <v>1</v>
      </c>
      <c r="H22" s="6"/>
      <c r="I22" s="6"/>
      <c r="J22" s="8"/>
      <c r="K22" s="9" t="s">
        <v>16</v>
      </c>
      <c r="L22" s="7" t="s">
        <v>17</v>
      </c>
      <c r="M22" s="7" t="s">
        <v>17</v>
      </c>
      <c r="N22" s="6"/>
    </row>
    <row r="23" customFormat="false" ht="15" hidden="false" customHeight="false" outlineLevel="0" collapsed="false">
      <c r="A23" s="10" t="n">
        <v>20</v>
      </c>
      <c r="B23" s="6"/>
      <c r="C23" s="6"/>
      <c r="D23" s="6"/>
      <c r="E23" s="10" t="n">
        <f aca="false">IFERROR(D23-C23,"")</f>
        <v>0</v>
      </c>
      <c r="F23" s="6"/>
      <c r="G23" s="7" t="n">
        <v>1</v>
      </c>
      <c r="H23" s="6"/>
      <c r="I23" s="6"/>
      <c r="J23" s="8"/>
      <c r="K23" s="9" t="s">
        <v>16</v>
      </c>
      <c r="L23" s="7" t="s">
        <v>17</v>
      </c>
      <c r="M23" s="7" t="s">
        <v>17</v>
      </c>
      <c r="N23" s="6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13" min="2" style="0" width="9"/>
  </cols>
  <sheetData>
    <row r="1" customFormat="false" ht="30" hidden="false" customHeight="true" outlineLevel="0" collapsed="false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customFormat="false" ht="18" hidden="false" customHeight="true" outlineLevel="0" collapsed="false">
      <c r="A2" s="12" t="s">
        <v>19</v>
      </c>
      <c r="B2" s="12"/>
      <c r="C2" s="12"/>
      <c r="D2" s="12"/>
      <c r="E2" s="12"/>
      <c r="F2" s="12"/>
      <c r="G2" s="12"/>
      <c r="H2" s="12"/>
    </row>
    <row r="3" customFormat="false" ht="24" hidden="false" customHeight="true" outlineLevel="0" collapsed="false">
      <c r="A3" s="13" t="s">
        <v>9</v>
      </c>
      <c r="B3" s="14" t="s">
        <v>20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25</v>
      </c>
      <c r="H3" s="14" t="s">
        <v>26</v>
      </c>
      <c r="I3" s="14" t="s">
        <v>27</v>
      </c>
      <c r="J3" s="14" t="s">
        <v>28</v>
      </c>
      <c r="K3" s="14" t="s">
        <v>29</v>
      </c>
      <c r="L3" s="14" t="s">
        <v>30</v>
      </c>
      <c r="M3" s="14" t="s">
        <v>31</v>
      </c>
    </row>
    <row r="4" customFormat="false" ht="21.75" hidden="false" customHeight="true" outlineLevel="0" collapsed="false">
      <c r="A4" s="15" t="s">
        <v>32</v>
      </c>
      <c r="B4" s="16" t="s">
        <v>17</v>
      </c>
      <c r="C4" s="16" t="s">
        <v>17</v>
      </c>
      <c r="D4" s="16" t="s">
        <v>17</v>
      </c>
      <c r="E4" s="16" t="s">
        <v>17</v>
      </c>
      <c r="F4" s="16" t="s">
        <v>17</v>
      </c>
      <c r="G4" s="16" t="s">
        <v>17</v>
      </c>
      <c r="H4" s="16" t="s">
        <v>17</v>
      </c>
      <c r="I4" s="16" t="s">
        <v>17</v>
      </c>
      <c r="J4" s="16" t="s">
        <v>17</v>
      </c>
      <c r="K4" s="16" t="s">
        <v>17</v>
      </c>
      <c r="L4" s="16" t="s">
        <v>17</v>
      </c>
      <c r="M4" s="16" t="s">
        <v>17</v>
      </c>
    </row>
    <row r="5" customFormat="false" ht="21.75" hidden="false" customHeight="true" outlineLevel="0" collapsed="false">
      <c r="A5" s="15" t="s">
        <v>33</v>
      </c>
      <c r="B5" s="16" t="s">
        <v>17</v>
      </c>
      <c r="C5" s="16" t="s">
        <v>17</v>
      </c>
      <c r="D5" s="16" t="s">
        <v>17</v>
      </c>
      <c r="E5" s="16" t="s">
        <v>17</v>
      </c>
      <c r="F5" s="16" t="s">
        <v>17</v>
      </c>
      <c r="G5" s="16" t="s">
        <v>17</v>
      </c>
      <c r="H5" s="16" t="s">
        <v>17</v>
      </c>
      <c r="I5" s="16" t="s">
        <v>17</v>
      </c>
      <c r="J5" s="16" t="s">
        <v>17</v>
      </c>
      <c r="K5" s="16" t="s">
        <v>17</v>
      </c>
      <c r="L5" s="16" t="s">
        <v>17</v>
      </c>
      <c r="M5" s="16" t="s">
        <v>17</v>
      </c>
    </row>
    <row r="6" customFormat="false" ht="21.75" hidden="false" customHeight="true" outlineLevel="0" collapsed="false">
      <c r="A6" s="15" t="s">
        <v>34</v>
      </c>
      <c r="B6" s="16" t="s">
        <v>17</v>
      </c>
      <c r="C6" s="16" t="s">
        <v>17</v>
      </c>
      <c r="D6" s="16" t="s">
        <v>17</v>
      </c>
      <c r="E6" s="16" t="s">
        <v>17</v>
      </c>
      <c r="F6" s="16" t="s">
        <v>17</v>
      </c>
      <c r="G6" s="16" t="s">
        <v>17</v>
      </c>
      <c r="H6" s="16" t="s">
        <v>17</v>
      </c>
      <c r="I6" s="16" t="s">
        <v>17</v>
      </c>
      <c r="J6" s="16" t="s">
        <v>17</v>
      </c>
      <c r="K6" s="16" t="s">
        <v>17</v>
      </c>
      <c r="L6" s="16" t="s">
        <v>17</v>
      </c>
      <c r="M6" s="16" t="s">
        <v>17</v>
      </c>
    </row>
    <row r="7" customFormat="false" ht="21.75" hidden="false" customHeight="true" outlineLevel="0" collapsed="false">
      <c r="A7" s="15" t="s">
        <v>35</v>
      </c>
      <c r="B7" s="16" t="s">
        <v>17</v>
      </c>
      <c r="C7" s="16" t="s">
        <v>17</v>
      </c>
      <c r="D7" s="16" t="s">
        <v>17</v>
      </c>
      <c r="E7" s="16" t="s">
        <v>17</v>
      </c>
      <c r="F7" s="16" t="s">
        <v>17</v>
      </c>
      <c r="G7" s="16" t="s">
        <v>17</v>
      </c>
      <c r="H7" s="16" t="s">
        <v>17</v>
      </c>
      <c r="I7" s="16" t="s">
        <v>17</v>
      </c>
      <c r="J7" s="16" t="s">
        <v>17</v>
      </c>
      <c r="K7" s="16" t="s">
        <v>17</v>
      </c>
      <c r="L7" s="16" t="s">
        <v>17</v>
      </c>
      <c r="M7" s="16" t="s">
        <v>17</v>
      </c>
    </row>
    <row r="8" customFormat="false" ht="21.75" hidden="false" customHeight="true" outlineLevel="0" collapsed="false">
      <c r="A8" s="17" t="s">
        <v>36</v>
      </c>
      <c r="B8" s="18" t="s">
        <v>37</v>
      </c>
      <c r="C8" s="18" t="s">
        <v>37</v>
      </c>
      <c r="D8" s="18" t="s">
        <v>37</v>
      </c>
      <c r="E8" s="18" t="s">
        <v>38</v>
      </c>
      <c r="F8" s="18" t="s">
        <v>38</v>
      </c>
      <c r="G8" s="18" t="s">
        <v>38</v>
      </c>
      <c r="H8" s="18" t="s">
        <v>37</v>
      </c>
      <c r="I8" s="18" t="s">
        <v>37</v>
      </c>
      <c r="J8" s="18" t="s">
        <v>38</v>
      </c>
      <c r="K8" s="18" t="s">
        <v>38</v>
      </c>
      <c r="L8" s="18" t="s">
        <v>37</v>
      </c>
      <c r="M8" s="18" t="s">
        <v>37</v>
      </c>
    </row>
  </sheetData>
  <mergeCells count="2">
    <mergeCell ref="A1:AF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0"/>
  </cols>
  <sheetData>
    <row r="1" customFormat="false" ht="30" hidden="false" customHeight="true" outlineLevel="0" collapsed="false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4" t="s">
        <v>41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19" t="s">
        <v>42</v>
      </c>
    </row>
    <row r="4" customFormat="false" ht="21.75" hidden="false" customHeight="true" outlineLevel="0" collapsed="false">
      <c r="A4" s="20" t="s">
        <v>43</v>
      </c>
    </row>
    <row r="5" customFormat="false" ht="21.75" hidden="false" customHeight="true" outlineLevel="0" collapsed="false">
      <c r="A5" s="21" t="s">
        <v>44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customFormat="false" ht="21.75" hidden="false" customHeight="true" outlineLevel="0" collapsed="false">
      <c r="A6" s="21" t="s">
        <v>45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customFormat="false" ht="21.75" hidden="false" customHeight="true" outlineLevel="0" collapsed="false">
      <c r="A7" s="21" t="s">
        <v>46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customFormat="false" ht="21.75" hidden="false" customHeight="true" outlineLevel="0" collapsed="false">
      <c r="A8" s="23" t="s">
        <v>47</v>
      </c>
      <c r="B8" s="24" t="n">
        <f aca="false">SUM(B5:B7)</f>
        <v>0</v>
      </c>
      <c r="C8" s="24" t="n">
        <f aca="false">SUM(C5:C7)</f>
        <v>0</v>
      </c>
      <c r="D8" s="24" t="n">
        <f aca="false">SUM(D5:D7)</f>
        <v>0</v>
      </c>
      <c r="E8" s="24" t="n">
        <f aca="false">SUM(E5:E7)</f>
        <v>0</v>
      </c>
      <c r="F8" s="24" t="n">
        <f aca="false">SUM(F5:F7)</f>
        <v>0</v>
      </c>
      <c r="G8" s="24" t="n">
        <f aca="false">SUM(G5:G7)</f>
        <v>0</v>
      </c>
      <c r="H8" s="24" t="n">
        <f aca="false">SUM(H5:H7)</f>
        <v>0</v>
      </c>
      <c r="I8" s="24" t="n">
        <f aca="false">SUM(I5:I7)</f>
        <v>0</v>
      </c>
      <c r="J8" s="24" t="n">
        <f aca="false">SUM(J5:J7)</f>
        <v>0</v>
      </c>
      <c r="K8" s="24" t="n">
        <f aca="false">SUM(K5:K7)</f>
        <v>0</v>
      </c>
      <c r="L8" s="24" t="n">
        <f aca="false">SUM(L5:L7)</f>
        <v>0</v>
      </c>
      <c r="M8" s="24" t="n">
        <f aca="false">SUM(M5:M7)</f>
        <v>0</v>
      </c>
      <c r="N8" s="24" t="n">
        <f aca="false">SUM(B8:M8)</f>
        <v>0</v>
      </c>
    </row>
    <row r="9" customFormat="false" ht="7.5" hidden="false" customHeight="true" outlineLevel="0" collapsed="false"/>
    <row r="10" customFormat="false" ht="21.75" hidden="false" customHeight="true" outlineLevel="0" collapsed="false">
      <c r="A10" s="20" t="s">
        <v>48</v>
      </c>
    </row>
    <row r="11" customFormat="false" ht="21.75" hidden="false" customHeight="true" outlineLevel="0" collapsed="false">
      <c r="A11" s="21" t="s">
        <v>49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customFormat="false" ht="21.75" hidden="false" customHeight="true" outlineLevel="0" collapsed="false">
      <c r="A12" s="21" t="s">
        <v>50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customFormat="false" ht="21.75" hidden="false" customHeight="true" outlineLevel="0" collapsed="false">
      <c r="A13" s="21" t="s">
        <v>51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customFormat="false" ht="21.75" hidden="false" customHeight="true" outlineLevel="0" collapsed="false">
      <c r="A14" s="21" t="s">
        <v>52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customFormat="false" ht="21.75" hidden="false" customHeight="true" outlineLevel="0" collapsed="false">
      <c r="A15" s="21" t="s">
        <v>53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customFormat="false" ht="21.75" hidden="false" customHeight="true" outlineLevel="0" collapsed="false">
      <c r="A16" s="25" t="s">
        <v>54</v>
      </c>
      <c r="B16" s="26" t="n">
        <f aca="false">IFERROR(B8*0.15,0)</f>
        <v>0</v>
      </c>
      <c r="C16" s="26" t="n">
        <f aca="false">IFERROR(C8*0.15,0)</f>
        <v>0</v>
      </c>
      <c r="D16" s="26" t="n">
        <f aca="false">IFERROR(D8*0.15,0)</f>
        <v>0</v>
      </c>
      <c r="E16" s="26" t="n">
        <f aca="false">IFERROR(E8*0.15,0)</f>
        <v>0</v>
      </c>
      <c r="F16" s="26" t="n">
        <f aca="false">IFERROR(F8*0.15,0)</f>
        <v>0</v>
      </c>
      <c r="G16" s="26" t="n">
        <f aca="false">IFERROR(G8*0.15,0)</f>
        <v>0</v>
      </c>
      <c r="H16" s="26" t="n">
        <f aca="false">IFERROR(H8*0.15,0)</f>
        <v>0</v>
      </c>
      <c r="I16" s="26" t="n">
        <f aca="false">IFERROR(I8*0.15,0)</f>
        <v>0</v>
      </c>
      <c r="J16" s="26" t="n">
        <f aca="false">IFERROR(J8*0.15,0)</f>
        <v>0</v>
      </c>
      <c r="K16" s="26" t="n">
        <f aca="false">IFERROR(K8*0.15,0)</f>
        <v>0</v>
      </c>
      <c r="L16" s="26" t="n">
        <f aca="false">IFERROR(L8*0.15,0)</f>
        <v>0</v>
      </c>
      <c r="M16" s="26" t="n">
        <f aca="false">IFERROR(M8*0.15,0)</f>
        <v>0</v>
      </c>
      <c r="N16" s="26" t="n">
        <f aca="false">SUM(B16:M16)</f>
        <v>0</v>
      </c>
    </row>
    <row r="17" customFormat="false" ht="21.75" hidden="false" customHeight="true" outlineLevel="0" collapsed="false">
      <c r="A17" s="21" t="s">
        <v>55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customFormat="false" ht="21.75" hidden="false" customHeight="true" outlineLevel="0" collapsed="false">
      <c r="A18" s="27" t="s">
        <v>56</v>
      </c>
      <c r="B18" s="28" t="n">
        <f aca="false">SUM(B11:B17)</f>
        <v>0</v>
      </c>
      <c r="C18" s="28" t="n">
        <f aca="false">SUM(C11:C17)</f>
        <v>0</v>
      </c>
      <c r="D18" s="28" t="n">
        <f aca="false">SUM(D11:D17)</f>
        <v>0</v>
      </c>
      <c r="E18" s="28" t="n">
        <f aca="false">SUM(E11:E17)</f>
        <v>0</v>
      </c>
      <c r="F18" s="28" t="n">
        <f aca="false">SUM(F11:F17)</f>
        <v>0</v>
      </c>
      <c r="G18" s="28" t="n">
        <f aca="false">SUM(G11:G17)</f>
        <v>0</v>
      </c>
      <c r="H18" s="28" t="n">
        <f aca="false">SUM(H11:H17)</f>
        <v>0</v>
      </c>
      <c r="I18" s="28" t="n">
        <f aca="false">SUM(I11:I17)</f>
        <v>0</v>
      </c>
      <c r="J18" s="28" t="n">
        <f aca="false">SUM(J11:J17)</f>
        <v>0</v>
      </c>
      <c r="K18" s="28" t="n">
        <f aca="false">SUM(K11:K17)</f>
        <v>0</v>
      </c>
      <c r="L18" s="28" t="n">
        <f aca="false">SUM(L11:L17)</f>
        <v>0</v>
      </c>
      <c r="M18" s="28" t="n">
        <f aca="false">SUM(M11:M17)</f>
        <v>0</v>
      </c>
      <c r="N18" s="28" t="n">
        <f aca="false">SUM(B18:M18)</f>
        <v>0</v>
      </c>
    </row>
    <row r="19" customFormat="false" ht="7.5" hidden="false" customHeight="true" outlineLevel="0" collapsed="false"/>
    <row r="20" customFormat="false" ht="25.5" hidden="false" customHeight="true" outlineLevel="0" collapsed="false">
      <c r="A20" s="29" t="s">
        <v>57</v>
      </c>
      <c r="B20" s="30" t="n">
        <f aca="false">IFERROR(B8-B18,"")</f>
        <v>0</v>
      </c>
      <c r="C20" s="30" t="n">
        <f aca="false">IFERROR(C8-C18,"")</f>
        <v>0</v>
      </c>
      <c r="D20" s="30" t="n">
        <f aca="false">IFERROR(D8-D18,"")</f>
        <v>0</v>
      </c>
      <c r="E20" s="30" t="n">
        <f aca="false">IFERROR(E8-E18,"")</f>
        <v>0</v>
      </c>
      <c r="F20" s="30" t="n">
        <f aca="false">IFERROR(F8-F18,"")</f>
        <v>0</v>
      </c>
      <c r="G20" s="30" t="n">
        <f aca="false">IFERROR(G8-G18,"")</f>
        <v>0</v>
      </c>
      <c r="H20" s="30" t="n">
        <f aca="false">IFERROR(H8-H18,"")</f>
        <v>0</v>
      </c>
      <c r="I20" s="30" t="n">
        <f aca="false">IFERROR(I8-I18,"")</f>
        <v>0</v>
      </c>
      <c r="J20" s="30" t="n">
        <f aca="false">IFERROR(J8-J18,"")</f>
        <v>0</v>
      </c>
      <c r="K20" s="30" t="n">
        <f aca="false">IFERROR(K8-K18,"")</f>
        <v>0</v>
      </c>
      <c r="L20" s="30" t="n">
        <f aca="false">IFERROR(L8-L18,"")</f>
        <v>0</v>
      </c>
      <c r="M20" s="30" t="n">
        <f aca="false">IFERROR(M8-M18,"")</f>
        <v>0</v>
      </c>
      <c r="N20" s="30" t="n">
        <f aca="false">SUM(B20:M20)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24"/>
  </cols>
  <sheetData>
    <row r="1" customFormat="false" ht="36" hidden="false" customHeight="true" outlineLevel="0" collapsed="false">
      <c r="A1" s="31" t="s">
        <v>58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19.5" hidden="false" customHeight="true" outlineLevel="0" collapsed="false">
      <c r="A2" s="32" t="s">
        <v>59</v>
      </c>
      <c r="B2" s="32"/>
      <c r="C2" s="32"/>
      <c r="D2" s="32"/>
      <c r="E2" s="32"/>
      <c r="F2" s="32"/>
      <c r="G2" s="32"/>
      <c r="H2" s="32"/>
      <c r="I2" s="32"/>
      <c r="J2" s="32"/>
    </row>
    <row r="3" customFormat="false" ht="30" hidden="false" customHeight="true" outlineLevel="0" collapsed="false">
      <c r="A3" s="19" t="s">
        <v>60</v>
      </c>
      <c r="B3" s="19" t="s">
        <v>7</v>
      </c>
      <c r="C3" s="19" t="s">
        <v>8</v>
      </c>
      <c r="D3" s="19" t="s">
        <v>9</v>
      </c>
      <c r="E3" s="19" t="s">
        <v>61</v>
      </c>
      <c r="F3" s="19" t="s">
        <v>62</v>
      </c>
      <c r="G3" s="19" t="s">
        <v>63</v>
      </c>
      <c r="H3" s="19" t="s">
        <v>64</v>
      </c>
      <c r="I3" s="19" t="s">
        <v>65</v>
      </c>
      <c r="J3" s="19" t="s">
        <v>66</v>
      </c>
    </row>
    <row r="4" customFormat="false" ht="15" hidden="false" customHeight="false" outlineLevel="0" collapsed="false">
      <c r="A4" s="6"/>
      <c r="B4" s="6"/>
      <c r="C4" s="7"/>
      <c r="D4" s="6"/>
      <c r="E4" s="7"/>
      <c r="F4" s="7" t="s">
        <v>17</v>
      </c>
      <c r="G4" s="7" t="s">
        <v>17</v>
      </c>
      <c r="H4" s="7" t="s">
        <v>17</v>
      </c>
      <c r="I4" s="6"/>
      <c r="J4" s="6"/>
    </row>
    <row r="5" customFormat="false" ht="15" hidden="false" customHeight="false" outlineLevel="0" collapsed="false">
      <c r="A5" s="6"/>
      <c r="B5" s="6"/>
      <c r="C5" s="7"/>
      <c r="D5" s="6"/>
      <c r="E5" s="7"/>
      <c r="F5" s="7" t="s">
        <v>17</v>
      </c>
      <c r="G5" s="7" t="s">
        <v>17</v>
      </c>
      <c r="H5" s="7" t="s">
        <v>17</v>
      </c>
      <c r="I5" s="6"/>
      <c r="J5" s="6"/>
    </row>
    <row r="6" customFormat="false" ht="15" hidden="false" customHeight="false" outlineLevel="0" collapsed="false">
      <c r="A6" s="6"/>
      <c r="B6" s="6"/>
      <c r="C6" s="7"/>
      <c r="D6" s="6"/>
      <c r="E6" s="7"/>
      <c r="F6" s="7" t="s">
        <v>17</v>
      </c>
      <c r="G6" s="7" t="s">
        <v>17</v>
      </c>
      <c r="H6" s="7" t="s">
        <v>17</v>
      </c>
      <c r="I6" s="6"/>
      <c r="J6" s="6"/>
    </row>
    <row r="7" customFormat="false" ht="15" hidden="false" customHeight="false" outlineLevel="0" collapsed="false">
      <c r="A7" s="6"/>
      <c r="B7" s="6"/>
      <c r="C7" s="7"/>
      <c r="D7" s="6"/>
      <c r="E7" s="7"/>
      <c r="F7" s="7" t="s">
        <v>17</v>
      </c>
      <c r="G7" s="7" t="s">
        <v>17</v>
      </c>
      <c r="H7" s="7" t="s">
        <v>17</v>
      </c>
      <c r="I7" s="6"/>
      <c r="J7" s="6"/>
    </row>
    <row r="8" customFormat="false" ht="15" hidden="false" customHeight="false" outlineLevel="0" collapsed="false">
      <c r="A8" s="6"/>
      <c r="B8" s="6"/>
      <c r="C8" s="7"/>
      <c r="D8" s="6"/>
      <c r="E8" s="7"/>
      <c r="F8" s="7" t="s">
        <v>17</v>
      </c>
      <c r="G8" s="7" t="s">
        <v>17</v>
      </c>
      <c r="H8" s="7" t="s">
        <v>17</v>
      </c>
      <c r="I8" s="6"/>
      <c r="J8" s="6"/>
    </row>
    <row r="9" customFormat="false" ht="15" hidden="false" customHeight="false" outlineLevel="0" collapsed="false">
      <c r="A9" s="6"/>
      <c r="B9" s="6"/>
      <c r="C9" s="7"/>
      <c r="D9" s="6"/>
      <c r="E9" s="7"/>
      <c r="F9" s="7" t="s">
        <v>17</v>
      </c>
      <c r="G9" s="7" t="s">
        <v>17</v>
      </c>
      <c r="H9" s="7" t="s">
        <v>17</v>
      </c>
      <c r="I9" s="6"/>
      <c r="J9" s="6"/>
    </row>
    <row r="10" customFormat="false" ht="15" hidden="false" customHeight="false" outlineLevel="0" collapsed="false">
      <c r="A10" s="6"/>
      <c r="B10" s="6"/>
      <c r="C10" s="7"/>
      <c r="D10" s="6"/>
      <c r="E10" s="7"/>
      <c r="F10" s="7" t="s">
        <v>17</v>
      </c>
      <c r="G10" s="7" t="s">
        <v>17</v>
      </c>
      <c r="H10" s="7" t="s">
        <v>17</v>
      </c>
      <c r="I10" s="6"/>
      <c r="J10" s="6"/>
    </row>
    <row r="11" customFormat="false" ht="15" hidden="false" customHeight="false" outlineLevel="0" collapsed="false">
      <c r="A11" s="6"/>
      <c r="B11" s="6"/>
      <c r="C11" s="7"/>
      <c r="D11" s="6"/>
      <c r="E11" s="7"/>
      <c r="F11" s="7" t="s">
        <v>17</v>
      </c>
      <c r="G11" s="7" t="s">
        <v>17</v>
      </c>
      <c r="H11" s="7" t="s">
        <v>17</v>
      </c>
      <c r="I11" s="6"/>
      <c r="J11" s="6"/>
    </row>
    <row r="12" customFormat="false" ht="15" hidden="false" customHeight="false" outlineLevel="0" collapsed="false">
      <c r="A12" s="6"/>
      <c r="B12" s="6"/>
      <c r="C12" s="7"/>
      <c r="D12" s="6"/>
      <c r="E12" s="7"/>
      <c r="F12" s="7" t="s">
        <v>17</v>
      </c>
      <c r="G12" s="7" t="s">
        <v>17</v>
      </c>
      <c r="H12" s="7" t="s">
        <v>17</v>
      </c>
      <c r="I12" s="6"/>
      <c r="J12" s="6"/>
    </row>
    <row r="13" customFormat="false" ht="15" hidden="false" customHeight="false" outlineLevel="0" collapsed="false">
      <c r="A13" s="6"/>
      <c r="B13" s="6"/>
      <c r="C13" s="7"/>
      <c r="D13" s="6"/>
      <c r="E13" s="7"/>
      <c r="F13" s="7" t="s">
        <v>17</v>
      </c>
      <c r="G13" s="7" t="s">
        <v>17</v>
      </c>
      <c r="H13" s="7" t="s">
        <v>17</v>
      </c>
      <c r="I13" s="6"/>
      <c r="J13" s="6"/>
    </row>
    <row r="14" customFormat="false" ht="15" hidden="false" customHeight="false" outlineLevel="0" collapsed="false">
      <c r="A14" s="6"/>
      <c r="B14" s="6"/>
      <c r="C14" s="7"/>
      <c r="D14" s="6"/>
      <c r="E14" s="7"/>
      <c r="F14" s="7" t="s">
        <v>17</v>
      </c>
      <c r="G14" s="7" t="s">
        <v>17</v>
      </c>
      <c r="H14" s="7" t="s">
        <v>17</v>
      </c>
      <c r="I14" s="6"/>
      <c r="J14" s="6"/>
    </row>
    <row r="15" customFormat="false" ht="15" hidden="false" customHeight="false" outlineLevel="0" collapsed="false">
      <c r="A15" s="6"/>
      <c r="B15" s="6"/>
      <c r="C15" s="7"/>
      <c r="D15" s="6"/>
      <c r="E15" s="7"/>
      <c r="F15" s="7" t="s">
        <v>17</v>
      </c>
      <c r="G15" s="7" t="s">
        <v>17</v>
      </c>
      <c r="H15" s="7" t="s">
        <v>17</v>
      </c>
      <c r="I15" s="6"/>
      <c r="J15" s="6"/>
    </row>
    <row r="16" customFormat="false" ht="15" hidden="false" customHeight="false" outlineLevel="0" collapsed="false">
      <c r="A16" s="6"/>
      <c r="B16" s="6"/>
      <c r="C16" s="7"/>
      <c r="D16" s="6"/>
      <c r="E16" s="7"/>
      <c r="F16" s="7" t="s">
        <v>17</v>
      </c>
      <c r="G16" s="7" t="s">
        <v>17</v>
      </c>
      <c r="H16" s="7" t="s">
        <v>17</v>
      </c>
      <c r="I16" s="6"/>
      <c r="J16" s="6"/>
    </row>
    <row r="17" customFormat="false" ht="15" hidden="false" customHeight="false" outlineLevel="0" collapsed="false">
      <c r="A17" s="6"/>
      <c r="B17" s="6"/>
      <c r="C17" s="7"/>
      <c r="D17" s="6"/>
      <c r="E17" s="7"/>
      <c r="F17" s="7" t="s">
        <v>17</v>
      </c>
      <c r="G17" s="7" t="s">
        <v>17</v>
      </c>
      <c r="H17" s="7" t="s">
        <v>17</v>
      </c>
      <c r="I17" s="6"/>
      <c r="J17" s="6"/>
    </row>
    <row r="18" customFormat="false" ht="15" hidden="false" customHeight="false" outlineLevel="0" collapsed="false">
      <c r="A18" s="6"/>
      <c r="B18" s="6"/>
      <c r="C18" s="7"/>
      <c r="D18" s="6"/>
      <c r="E18" s="7"/>
      <c r="F18" s="7" t="s">
        <v>17</v>
      </c>
      <c r="G18" s="7" t="s">
        <v>17</v>
      </c>
      <c r="H18" s="7" t="s">
        <v>17</v>
      </c>
      <c r="I18" s="6"/>
      <c r="J18" s="6"/>
    </row>
    <row r="19" customFormat="false" ht="15" hidden="false" customHeight="false" outlineLevel="0" collapsed="false">
      <c r="A19" s="6"/>
      <c r="B19" s="6"/>
      <c r="C19" s="7"/>
      <c r="D19" s="6"/>
      <c r="E19" s="7"/>
      <c r="F19" s="7" t="s">
        <v>17</v>
      </c>
      <c r="G19" s="7" t="s">
        <v>17</v>
      </c>
      <c r="H19" s="7" t="s">
        <v>17</v>
      </c>
      <c r="I19" s="6"/>
      <c r="J19" s="6"/>
    </row>
    <row r="20" customFormat="false" ht="15" hidden="false" customHeight="false" outlineLevel="0" collapsed="false">
      <c r="A20" s="6"/>
      <c r="B20" s="6"/>
      <c r="C20" s="7"/>
      <c r="D20" s="6"/>
      <c r="E20" s="7"/>
      <c r="F20" s="7" t="s">
        <v>17</v>
      </c>
      <c r="G20" s="7" t="s">
        <v>17</v>
      </c>
      <c r="H20" s="7" t="s">
        <v>17</v>
      </c>
      <c r="I20" s="6"/>
      <c r="J20" s="6"/>
    </row>
    <row r="21" customFormat="false" ht="15" hidden="false" customHeight="false" outlineLevel="0" collapsed="false">
      <c r="A21" s="6"/>
      <c r="B21" s="6"/>
      <c r="C21" s="7"/>
      <c r="D21" s="6"/>
      <c r="E21" s="7"/>
      <c r="F21" s="7" t="s">
        <v>17</v>
      </c>
      <c r="G21" s="7" t="s">
        <v>17</v>
      </c>
      <c r="H21" s="7" t="s">
        <v>17</v>
      </c>
      <c r="I21" s="6"/>
      <c r="J21" s="6"/>
    </row>
    <row r="22" customFormat="false" ht="15" hidden="false" customHeight="false" outlineLevel="0" collapsed="false">
      <c r="A22" s="6"/>
      <c r="B22" s="6"/>
      <c r="C22" s="7"/>
      <c r="D22" s="6"/>
      <c r="E22" s="7"/>
      <c r="F22" s="7" t="s">
        <v>17</v>
      </c>
      <c r="G22" s="7" t="s">
        <v>17</v>
      </c>
      <c r="H22" s="7" t="s">
        <v>17</v>
      </c>
      <c r="I22" s="6"/>
      <c r="J22" s="6"/>
    </row>
    <row r="23" customFormat="false" ht="15" hidden="false" customHeight="false" outlineLevel="0" collapsed="false">
      <c r="A23" s="6"/>
      <c r="B23" s="6"/>
      <c r="C23" s="7"/>
      <c r="D23" s="6"/>
      <c r="E23" s="7"/>
      <c r="F23" s="7" t="s">
        <v>17</v>
      </c>
      <c r="G23" s="7" t="s">
        <v>17</v>
      </c>
      <c r="H23" s="7" t="s">
        <v>17</v>
      </c>
      <c r="I23" s="6"/>
      <c r="J23" s="6"/>
    </row>
    <row r="26" customFormat="false" ht="25.5" hidden="false" customHeight="true" outlineLevel="0" collapsed="false">
      <c r="A26" s="33" t="s">
        <v>67</v>
      </c>
      <c r="B26" s="33"/>
      <c r="C26" s="33"/>
      <c r="D26" s="33"/>
      <c r="E26" s="33"/>
      <c r="F26" s="33"/>
      <c r="G26" s="33"/>
      <c r="H26" s="33"/>
      <c r="I26" s="33"/>
      <c r="J26" s="33"/>
    </row>
    <row r="27" customFormat="false" ht="21.75" hidden="false" customHeight="true" outlineLevel="0" collapsed="false">
      <c r="A27" s="34" t="s">
        <v>68</v>
      </c>
      <c r="B27" s="34"/>
      <c r="C27" s="34"/>
      <c r="D27" s="34"/>
      <c r="E27" s="34"/>
      <c r="F27" s="34"/>
      <c r="G27" s="34"/>
      <c r="H27" s="34"/>
      <c r="I27" s="34"/>
      <c r="J27" s="34"/>
    </row>
    <row r="28" customFormat="false" ht="21.75" hidden="false" customHeight="true" outlineLevel="0" collapsed="false">
      <c r="A28" s="35" t="s">
        <v>69</v>
      </c>
      <c r="B28" s="35"/>
      <c r="C28" s="35"/>
      <c r="D28" s="35"/>
      <c r="E28" s="35"/>
      <c r="F28" s="35"/>
      <c r="G28" s="35"/>
      <c r="H28" s="35"/>
      <c r="I28" s="35"/>
      <c r="J28" s="35"/>
    </row>
    <row r="29" customFormat="false" ht="21.75" hidden="false" customHeight="true" outlineLevel="0" collapsed="false">
      <c r="A29" s="34" t="s">
        <v>70</v>
      </c>
      <c r="B29" s="34"/>
      <c r="C29" s="34"/>
      <c r="D29" s="34"/>
      <c r="E29" s="34"/>
      <c r="F29" s="34"/>
      <c r="G29" s="34"/>
      <c r="H29" s="34"/>
      <c r="I29" s="34"/>
      <c r="J29" s="34"/>
    </row>
    <row r="30" customFormat="false" ht="21.75" hidden="false" customHeight="true" outlineLevel="0" collapsed="false">
      <c r="A30" s="35" t="s">
        <v>71</v>
      </c>
      <c r="B30" s="35"/>
      <c r="C30" s="35"/>
      <c r="D30" s="35"/>
      <c r="E30" s="35"/>
      <c r="F30" s="35"/>
      <c r="G30" s="35"/>
      <c r="H30" s="35"/>
      <c r="I30" s="35"/>
      <c r="J30" s="35"/>
    </row>
    <row r="31" customFormat="false" ht="21.75" hidden="false" customHeight="true" outlineLevel="0" collapsed="false">
      <c r="A31" s="36" t="s">
        <v>72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21.75" hidden="false" customHeight="true" outlineLevel="0" collapsed="false">
      <c r="A32" s="35" t="s">
        <v>73</v>
      </c>
      <c r="B32" s="35"/>
      <c r="C32" s="35"/>
      <c r="D32" s="35"/>
      <c r="E32" s="35"/>
      <c r="F32" s="35"/>
      <c r="G32" s="35"/>
      <c r="H32" s="35"/>
      <c r="I32" s="35"/>
      <c r="J32" s="35"/>
    </row>
    <row r="33" customFormat="false" ht="21.75" hidden="false" customHeight="true" outlineLevel="0" collapsed="false">
      <c r="A33" s="34" t="s">
        <v>74</v>
      </c>
      <c r="B33" s="34"/>
      <c r="C33" s="34"/>
      <c r="D33" s="34"/>
      <c r="E33" s="34"/>
      <c r="F33" s="34"/>
      <c r="G33" s="34"/>
      <c r="H33" s="34"/>
      <c r="I33" s="34"/>
      <c r="J33" s="34"/>
    </row>
    <row r="34" customFormat="false" ht="21.75" hidden="false" customHeight="true" outlineLevel="0" collapsed="false">
      <c r="A34" s="35" t="s">
        <v>75</v>
      </c>
      <c r="B34" s="35"/>
      <c r="C34" s="35"/>
      <c r="D34" s="35"/>
      <c r="E34" s="35"/>
      <c r="F34" s="35"/>
      <c r="G34" s="35"/>
      <c r="H34" s="35"/>
      <c r="I34" s="35"/>
      <c r="J34" s="35"/>
    </row>
  </sheetData>
  <mergeCells count="11">
    <mergeCell ref="A1:J1"/>
    <mergeCell ref="A2:J2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22"/>
    <col collapsed="false" customWidth="true" hidden="false" outlineLevel="0" max="8" min="8" style="0" width="32"/>
  </cols>
  <sheetData>
    <row r="1" customFormat="false" ht="30" hidden="false" customHeight="true" outlineLevel="0" collapsed="false">
      <c r="A1" s="11" t="s">
        <v>76</v>
      </c>
      <c r="B1" s="11"/>
      <c r="C1" s="11"/>
      <c r="D1" s="11"/>
      <c r="E1" s="11"/>
      <c r="F1" s="11"/>
      <c r="G1" s="11"/>
      <c r="H1" s="11"/>
    </row>
    <row r="2" customFormat="false" ht="15.75" hidden="false" customHeight="true" outlineLevel="0" collapsed="false">
      <c r="A2" s="12" t="s">
        <v>77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4" t="s">
        <v>78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  <c r="H3" s="4" t="s">
        <v>85</v>
      </c>
    </row>
    <row r="4" customFormat="false" ht="36" hidden="false" customHeight="true" outlineLevel="0" collapsed="false">
      <c r="A4" s="37" t="s">
        <v>86</v>
      </c>
      <c r="B4" s="38" t="s">
        <v>87</v>
      </c>
      <c r="C4" s="39" t="s">
        <v>88</v>
      </c>
      <c r="D4" s="37" t="s">
        <v>89</v>
      </c>
      <c r="E4" s="37" t="s">
        <v>90</v>
      </c>
      <c r="F4" s="40" t="s">
        <v>91</v>
      </c>
      <c r="G4" s="39" t="s">
        <v>92</v>
      </c>
      <c r="H4" s="40" t="s">
        <v>93</v>
      </c>
    </row>
    <row r="5" customFormat="false" ht="36" hidden="false" customHeight="true" outlineLevel="0" collapsed="false">
      <c r="A5" s="37" t="s">
        <v>94</v>
      </c>
      <c r="B5" s="41" t="s">
        <v>95</v>
      </c>
      <c r="C5" s="39" t="s">
        <v>96</v>
      </c>
      <c r="D5" s="39" t="s">
        <v>96</v>
      </c>
      <c r="E5" s="37" t="s">
        <v>97</v>
      </c>
      <c r="F5" s="42" t="s">
        <v>98</v>
      </c>
      <c r="G5" s="39" t="s">
        <v>99</v>
      </c>
      <c r="H5" s="42"/>
    </row>
    <row r="6" customFormat="false" ht="36" hidden="false" customHeight="true" outlineLevel="0" collapsed="false">
      <c r="A6" s="5" t="s">
        <v>100</v>
      </c>
      <c r="B6" s="43" t="s">
        <v>101</v>
      </c>
      <c r="C6" s="44" t="s">
        <v>96</v>
      </c>
      <c r="D6" s="44" t="s">
        <v>96</v>
      </c>
      <c r="E6" s="5" t="s">
        <v>102</v>
      </c>
      <c r="F6" s="45" t="s">
        <v>96</v>
      </c>
      <c r="G6" s="44" t="s">
        <v>103</v>
      </c>
      <c r="H6" s="46" t="s">
        <v>104</v>
      </c>
    </row>
    <row r="7" customFormat="false" ht="36" hidden="false" customHeight="true" outlineLevel="0" collapsed="false">
      <c r="A7" s="10" t="s">
        <v>100</v>
      </c>
      <c r="B7" s="47" t="s">
        <v>105</v>
      </c>
      <c r="C7" s="48" t="s">
        <v>96</v>
      </c>
      <c r="D7" s="48" t="s">
        <v>96</v>
      </c>
      <c r="E7" s="10" t="s">
        <v>106</v>
      </c>
      <c r="F7" s="49" t="s">
        <v>107</v>
      </c>
      <c r="G7" s="48" t="s">
        <v>103</v>
      </c>
      <c r="H7" s="50" t="s">
        <v>104</v>
      </c>
    </row>
    <row r="8" customFormat="false" ht="36" hidden="false" customHeight="true" outlineLevel="0" collapsed="false">
      <c r="A8" s="5" t="s">
        <v>100</v>
      </c>
      <c r="B8" s="43" t="s">
        <v>108</v>
      </c>
      <c r="C8" s="44" t="s">
        <v>96</v>
      </c>
      <c r="D8" s="44" t="s">
        <v>96</v>
      </c>
      <c r="E8" s="44" t="s">
        <v>109</v>
      </c>
      <c r="F8" s="45" t="s">
        <v>110</v>
      </c>
      <c r="G8" s="44" t="s">
        <v>111</v>
      </c>
      <c r="H8" s="46"/>
    </row>
    <row r="9" customFormat="false" ht="36" hidden="false" customHeight="true" outlineLevel="0" collapsed="false">
      <c r="A9" s="10" t="s">
        <v>100</v>
      </c>
      <c r="B9" s="47" t="s">
        <v>112</v>
      </c>
      <c r="C9" s="48" t="s">
        <v>96</v>
      </c>
      <c r="D9" s="48" t="s">
        <v>96</v>
      </c>
      <c r="E9" s="48" t="s">
        <v>96</v>
      </c>
      <c r="F9" s="49" t="s">
        <v>113</v>
      </c>
      <c r="G9" s="48" t="s">
        <v>111</v>
      </c>
      <c r="H9" s="50"/>
    </row>
    <row r="10" customFormat="false" ht="36" hidden="false" customHeight="true" outlineLevel="0" collapsed="false">
      <c r="A10" s="5" t="s">
        <v>100</v>
      </c>
      <c r="B10" s="43" t="s">
        <v>114</v>
      </c>
      <c r="C10" s="5" t="s">
        <v>115</v>
      </c>
      <c r="D10" s="5" t="s">
        <v>115</v>
      </c>
      <c r="E10" s="5" t="s">
        <v>116</v>
      </c>
      <c r="F10" s="45" t="s">
        <v>117</v>
      </c>
      <c r="G10" s="44" t="s">
        <v>118</v>
      </c>
      <c r="H10" s="46" t="s">
        <v>119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1" t="s">
        <v>120</v>
      </c>
      <c r="B1" s="11"/>
      <c r="C1" s="11"/>
      <c r="D1" s="11"/>
      <c r="E1" s="11"/>
      <c r="F1" s="11"/>
    </row>
    <row r="2" customFormat="false" ht="24" hidden="false" customHeight="true" outlineLevel="0" collapsed="false">
      <c r="A2" s="51" t="s">
        <v>121</v>
      </c>
      <c r="B2" s="51"/>
      <c r="C2" s="51"/>
      <c r="D2" s="51"/>
      <c r="E2" s="51"/>
      <c r="F2" s="51"/>
    </row>
    <row r="3" customFormat="false" ht="27.75" hidden="false" customHeight="true" outlineLevel="0" collapsed="false">
      <c r="A3" s="4" t="s">
        <v>78</v>
      </c>
      <c r="B3" s="4" t="s">
        <v>122</v>
      </c>
      <c r="C3" s="4" t="s">
        <v>123</v>
      </c>
      <c r="D3" s="4" t="s">
        <v>124</v>
      </c>
      <c r="E3" s="4" t="s">
        <v>84</v>
      </c>
      <c r="F3" s="4" t="s">
        <v>66</v>
      </c>
    </row>
    <row r="4" customFormat="false" ht="27.75" hidden="false" customHeight="true" outlineLevel="0" collapsed="false">
      <c r="A4" s="37" t="s">
        <v>86</v>
      </c>
      <c r="B4" s="38" t="s">
        <v>125</v>
      </c>
      <c r="C4" s="39" t="s">
        <v>126</v>
      </c>
      <c r="D4" s="37" t="s">
        <v>127</v>
      </c>
      <c r="E4" s="39" t="s">
        <v>128</v>
      </c>
      <c r="F4" s="42" t="s">
        <v>129</v>
      </c>
    </row>
    <row r="5" customFormat="false" ht="27.75" hidden="false" customHeight="true" outlineLevel="0" collapsed="false">
      <c r="A5" s="37" t="s">
        <v>86</v>
      </c>
      <c r="B5" s="38" t="s">
        <v>130</v>
      </c>
      <c r="C5" s="39" t="s">
        <v>126</v>
      </c>
      <c r="D5" s="37" t="s">
        <v>131</v>
      </c>
      <c r="E5" s="39" t="s">
        <v>132</v>
      </c>
      <c r="F5" s="40" t="s">
        <v>133</v>
      </c>
    </row>
    <row r="6" customFormat="false" ht="27.75" hidden="false" customHeight="true" outlineLevel="0" collapsed="false">
      <c r="A6" s="52" t="s">
        <v>94</v>
      </c>
      <c r="B6" s="53" t="s">
        <v>134</v>
      </c>
      <c r="C6" s="54" t="s">
        <v>126</v>
      </c>
      <c r="D6" s="54" t="s">
        <v>135</v>
      </c>
      <c r="E6" s="54" t="s">
        <v>136</v>
      </c>
      <c r="F6" s="55" t="s">
        <v>137</v>
      </c>
    </row>
    <row r="7" customFormat="false" ht="27.75" hidden="false" customHeight="true" outlineLevel="0" collapsed="false">
      <c r="A7" s="52" t="s">
        <v>94</v>
      </c>
      <c r="B7" s="53" t="s">
        <v>138</v>
      </c>
      <c r="C7" s="54" t="s">
        <v>126</v>
      </c>
      <c r="D7" s="54" t="s">
        <v>135</v>
      </c>
      <c r="E7" s="54" t="s">
        <v>136</v>
      </c>
      <c r="F7" s="55" t="s">
        <v>137</v>
      </c>
    </row>
    <row r="8" customFormat="false" ht="27.75" hidden="false" customHeight="true" outlineLevel="0" collapsed="false">
      <c r="A8" s="52" t="s">
        <v>94</v>
      </c>
      <c r="B8" s="55" t="s">
        <v>139</v>
      </c>
      <c r="C8" s="54" t="s">
        <v>126</v>
      </c>
      <c r="D8" s="54" t="s">
        <v>140</v>
      </c>
      <c r="E8" s="54" t="s">
        <v>128</v>
      </c>
      <c r="F8" s="55" t="s">
        <v>141</v>
      </c>
    </row>
    <row r="9" customFormat="false" ht="27.75" hidden="false" customHeight="true" outlineLevel="0" collapsed="false">
      <c r="A9" s="10" t="s">
        <v>142</v>
      </c>
      <c r="B9" s="50" t="s">
        <v>143</v>
      </c>
      <c r="C9" s="48" t="s">
        <v>144</v>
      </c>
      <c r="D9" s="10" t="s">
        <v>145</v>
      </c>
      <c r="E9" s="48" t="s">
        <v>146</v>
      </c>
      <c r="F9" s="50" t="s">
        <v>147</v>
      </c>
    </row>
    <row r="10" customFormat="false" ht="27.75" hidden="false" customHeight="true" outlineLevel="0" collapsed="false">
      <c r="A10" s="5" t="s">
        <v>142</v>
      </c>
      <c r="B10" s="45" t="s">
        <v>148</v>
      </c>
      <c r="C10" s="44" t="s">
        <v>126</v>
      </c>
      <c r="D10" s="5" t="s">
        <v>149</v>
      </c>
      <c r="E10" s="44" t="s">
        <v>128</v>
      </c>
      <c r="F10" s="46"/>
    </row>
    <row r="11" customFormat="false" ht="27.75" hidden="false" customHeight="true" outlineLevel="0" collapsed="false">
      <c r="A11" s="10" t="s">
        <v>100</v>
      </c>
      <c r="B11" s="49" t="s">
        <v>150</v>
      </c>
      <c r="C11" s="48" t="s">
        <v>151</v>
      </c>
      <c r="D11" s="48" t="s">
        <v>152</v>
      </c>
      <c r="E11" s="48" t="s">
        <v>153</v>
      </c>
      <c r="F11" s="50" t="s">
        <v>154</v>
      </c>
    </row>
    <row r="12" customFormat="false" ht="27.75" hidden="false" customHeight="true" outlineLevel="0" collapsed="false">
      <c r="A12" s="5" t="s">
        <v>100</v>
      </c>
      <c r="B12" s="45" t="s">
        <v>155</v>
      </c>
      <c r="C12" s="44" t="s">
        <v>126</v>
      </c>
      <c r="D12" s="44" t="s">
        <v>156</v>
      </c>
      <c r="E12" s="44" t="s">
        <v>128</v>
      </c>
      <c r="F12" s="4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2026-04-09T23:36:07Z</dcterms:created>
  <dc:creator>openpyxl</dc:creator>
  <dc:description/>
  <dc:language>en-US</dc:language>
  <cp:lastModifiedBy/>
  <dcterms:modified xsi:type="dcterms:W3CDTF">2026-04-09T23:36:08Z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